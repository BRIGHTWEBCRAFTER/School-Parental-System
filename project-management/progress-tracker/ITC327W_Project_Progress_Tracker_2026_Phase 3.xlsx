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heko\Desktop\Mamello\"/>
    </mc:Choice>
  </mc:AlternateContent>
  <xr:revisionPtr revIDLastSave="0" documentId="8_{01BFB2B6-5325-4AAF-B464-5B469DF2BC7F}" xr6:coauthVersionLast="47" xr6:coauthVersionMax="47" xr10:uidLastSave="{00000000-0000-0000-0000-000000000000}"/>
  <bookViews>
    <workbookView xWindow="-108" yWindow="-108" windowWidth="23256" windowHeight="13176" tabRatio="500" firstSheet="2" activeTab="4"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4" i="2"/>
  <c r="G13" i="2"/>
  <c r="G12" i="2"/>
  <c r="G8" i="2"/>
  <c r="G7" i="2"/>
  <c r="G6" i="2"/>
  <c r="G4" i="2"/>
  <c r="G9" i="2" l="1"/>
</calcChain>
</file>

<file path=xl/sharedStrings.xml><?xml version="1.0" encoding="utf-8"?>
<sst xmlns="http://schemas.openxmlformats.org/spreadsheetml/2006/main" count="599" uniqueCount="342">
  <si>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</si>
  <si>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</si>
  <si>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</si>
  <si>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</si>
  <si>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</si>
  <si>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</si>
  <si>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</si>
  <si>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</si>
  <si>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</si>
  <si>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</si>
  <si>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</si>
  <si>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</si>
  <si>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</si>
  <si>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</si>
  <si>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</si>
  <si>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</si>
  <si>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</si>
  <si>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</si>
  <si>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</si>
  <si>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</si>
  <si>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</si>
  <si>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</si>
  <si>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</si>
  <si>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</si>
  <si>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</si>
  <si>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</si>
  <si>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</si>
  <si>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</si>
  <si>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</si>
  <si>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</si>
  <si>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</si>
  <si>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</si>
  <si>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</si>
  <si>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</si>
  <si>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</si>
  <si>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</si>
  <si>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</si>
  <si>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</si>
  <si>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</si>
  <si>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</si>
  <si>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</si>
  <si>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</si>
  <si>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</si>
  <si>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</si>
  <si>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</si>
  <si>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</si>
  <si>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Bright Web Crafters</t>
  </si>
  <si>
    <t>Completed</t>
  </si>
  <si>
    <t>Project title</t>
  </si>
  <si>
    <t>School Portal System (School-Parental System) - ITC327W</t>
  </si>
  <si>
    <t>In Progress</t>
  </si>
  <si>
    <t>Stakeholder or organisation</t>
  </si>
  <si>
    <t>Reitzpark Primary School,  Lenakeng High school, Thabong primary school</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</si>
  <si>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</si>
  <si>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</si>
  <si>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</si>
  <si>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</si>
  <si>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</si>
  <si>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</si>
  <si>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</si>
  <si>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</si>
  <si>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</si>
  <si>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</si>
  <si>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</si>
  <si>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</si>
  <si>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</si>
  <si>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</si>
  <si>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</si>
  <si>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</si>
  <si>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</si>
  <si>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</si>
  <si>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</si>
  <si>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</si>
  <si>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</si>
  <si>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</si>
  <si>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</si>
  <si>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</si>
  <si>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</si>
  <si>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</si>
  <si>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</si>
  <si>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</si>
  <si>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</si>
  <si>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</si>
  <si>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</si>
  <si>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</si>
  <si>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</si>
  <si>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</si>
  <si>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Group</t>
  </si>
  <si>
    <t>Stakeholder interview forms signed by Reitzpark Primary School staff</t>
  </si>
  <si>
    <t>Yes</t>
  </si>
  <si>
    <t>U1-02</t>
  </si>
  <si>
    <t>Document the current process and problem</t>
  </si>
  <si>
    <t>Problem Statement (SRS Sec. 1) and Current Process diagram (SRS Sec. 2.5.1)</t>
  </si>
  <si>
    <t>U1-03</t>
  </si>
  <si>
    <t>Define the project aim, objectives and scope</t>
  </si>
  <si>
    <t>SRS Sections 2.2-2.4 (Scope, Project Aim, Project Objectives)</t>
  </si>
  <si>
    <t>U1-04</t>
  </si>
  <si>
    <t>Activity 1.2</t>
  </si>
  <si>
    <t>Prepare stakeholder interview questions</t>
  </si>
  <si>
    <t>Interview questionnaire used with Reitzpark Primary School staff</t>
  </si>
  <si>
    <t>U1-05</t>
  </si>
  <si>
    <t>Conduct and document the stakeholder interview</t>
  </si>
  <si>
    <t>3 completed, signed interview forms from Reitzpark Primary School (Administrator, Educator, Remedial Education), school-stamped</t>
  </si>
  <si>
    <t>U1-06</t>
  </si>
  <si>
    <t>Activity 1.3</t>
  </si>
  <si>
    <t>Compile the initial SRS</t>
  </si>
  <si>
    <t>BRIGHT_WEB_CRAFTERS_SRS.pdf (full SRS document, Sections 1-13)</t>
  </si>
  <si>
    <t>U1-07</t>
  </si>
  <si>
    <t>Create the initial Microsoft Project schedule</t>
  </si>
  <si>
    <t>U1-08</t>
  </si>
  <si>
    <t>Create and configure the GitHub repository</t>
  </si>
  <si>
    <t>U1-09</t>
  </si>
  <si>
    <t>Create the initial Supabase project</t>
  </si>
  <si>
    <t>U1-10</t>
  </si>
  <si>
    <t>Complete the progress report and contribution record</t>
  </si>
  <si>
    <t>ITC327W_Project_Progress_Tracker_2026.xlsx (this workbook, being updated)</t>
  </si>
  <si>
    <t>U1-11</t>
  </si>
  <si>
    <t>Complete the Unit 1 group reflection</t>
  </si>
  <si>
    <t>U1-12</t>
  </si>
  <si>
    <t>Activity 2.1</t>
  </si>
  <si>
    <t>Evaluate technical, operational, economic, schedule and legal/ethical feasibility of the proposed project</t>
  </si>
  <si>
    <t>SRS Sections 2.2.3 (Exclusions), 2.2.4 (Constraints) and 2.2.5 (Assumptions) already document scope, technical and schedule limits; formal feasibility study (technical/operational/economic/schedule/legal-ethical) still to be written up</t>
  </si>
  <si>
    <t>U1-13</t>
  </si>
  <si>
    <t>Activity 2.2</t>
  </si>
  <si>
    <t>Identify, assess (likelihood and impact) and prioritise project risks; prepare a project risk register</t>
  </si>
  <si>
    <t>SRS Section 10 (Risk Analysis) identifies 6 risks - data breach/unauthorised access, multi-school data leakage, incorrect role enforcement, integration failures, network dependency, browser/device compatibility - each with mitigation and contingency plans; likelihood/impact ratings and formal risk register format still to be added</t>
  </si>
  <si>
    <t>U1-14</t>
  </si>
  <si>
    <t>Activity 2.3</t>
  </si>
  <si>
    <t>Apply feasibility study and risk register findings: refine project scope, SRS requirements and update the Microsoft Project schedule</t>
  </si>
  <si>
    <t>U2-01</t>
  </si>
  <si>
    <t>Activity 3.1</t>
  </si>
  <si>
    <t>Design the overall system architecture showing how the Flutter mobile app, ASP.NET Core Web API and Supabase backend work together as one integrated solution</t>
  </si>
  <si>
    <t>SRS Section 3.3 (System Environment) already defines the integration points - ASP.NET Core 8 Web API, Flutter mobile app, Supabase PostgreSQL/Auth/Storage; formal system architecture diagram still to be produced</t>
  </si>
  <si>
    <t>U2-02</t>
  </si>
  <si>
    <t>Activity 3.2</t>
  </si>
  <si>
    <t>Develop the use case diagram, sequence diagrams for key processes, and the Entity Relationship Diagram (ERD) with tables, fields, primary keys and relationships</t>
  </si>
  <si>
    <t>SRS Section 8 (Data Requirements) lists the 12 data entities, fields and relationships (Schools, Users, Students, Teachers, Classes, Enrollments, Attendance, Grades, Announcements, Announcement Recipients, Notifications, Events) as the basis for the ERD; use case diagram, sequence diagrams and the ERD itself still to be developed</t>
  </si>
  <si>
    <t>U2-03</t>
  </si>
  <si>
    <t>Activity 3.3</t>
  </si>
  <si>
    <t>Design the main Flutter mobile application and ASP.NET web application interfaces and assemble the complete system design baseline</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</si>
  <si>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</si>
  <si>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</si>
  <si>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</si>
  <si>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</si>
  <si>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</si>
  <si>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</si>
  <si>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</si>
  <si>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</si>
  <si>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</si>
  <si>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</si>
  <si>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</si>
  <si>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</si>
  <si>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</si>
  <si>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</si>
  <si>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</si>
  <si>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</si>
  <si>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Meeting</t>
  </si>
  <si>
    <t>Requirements-gathering interview for the School Portal System</t>
  </si>
  <si>
    <t>J.B Setlhare - Administrator, Reitzpark Primary School (since 2021)</t>
  </si>
  <si>
    <t>School currently has no dedicated app for parent communication; relies on printed circulars, class WhatsApp groups and Facebook; admin cannot confirm whether parents received/read notices.</t>
  </si>
  <si>
    <t>Incorporate communication read/acknowledgement tracking into SRS requirements</t>
  </si>
  <si>
    <t>Signed interview form, school-stamped (Reitzpark Primary School)</t>
  </si>
  <si>
    <t>Z. Horn - Educator, Thabong primary school (10 years)</t>
  </si>
  <si>
    <t>Many parents have no WhatsApp, Facebook, data or smartphones; notices sent via class WhatsApp groups and Facebook often go unanswered or use wrong contact numbers; teacher cannot confirm receipt.</t>
  </si>
  <si>
    <t>Confirm need for multi-channel and offline-friendly communication design; capture as a business rule in the SRS</t>
  </si>
  <si>
    <t>R.I Mocke - Remedial Education, Lenakeng High school  (14 years)</t>
  </si>
  <si>
    <t>Parent meetings, phone calls and letters sent home with learners are current methods; letters often are not handed to parents and parents do not answer calls from the school; requested access to the system from phone/laptop.</t>
  </si>
  <si>
    <t>Include Parent Acknowledgement feature and multi-device (web/mobile) access in the SRS</t>
  </si>
  <si>
    <t>Challenges and Corrective Actions</t>
  </si>
  <si>
    <t>Date Identified</t>
  </si>
  <si>
    <t>Challenge</t>
  </si>
  <si>
    <t>Effect on Progress</t>
  </si>
  <si>
    <t>Corrective Action</t>
  </si>
  <si>
    <t>Responsible Student</t>
  </si>
  <si>
    <t>Target Date</t>
  </si>
  <si>
    <t>Parents at Reitzpark Primary School often lack smartphones, data or social media accounts, limiting WhatsApp/Facebook-based communication.</t>
  </si>
  <si>
    <t>Adds complexity to designing an inclusive, multi-channel communication module.</t>
  </si>
  <si>
    <t>Documented multi-channel communication and notification requirements in SRS Sections 5.10 and 9.1-9.3.</t>
  </si>
  <si>
    <t>Resolved</t>
  </si>
  <si>
    <t>The school has no reliable way to confirm parents received important notices (circulars, WhatsApp messages).</t>
  </si>
  <si>
    <t>Highlighted a core stakeholder problem that had to be reflected accurately in the requirements.</t>
  </si>
  <si>
    <t>Added Parent Acknowledgement and Read/Unread Tracking requirements (SRS Section 5.10.4-5.10.5).</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</si>
  <si>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</si>
  <si>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</si>
  <si>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</si>
  <si>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</si>
  <si>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</si>
  <si>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</si>
  <si>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</si>
  <si>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</si>
  <si>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</si>
  <si>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</si>
  <si>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</si>
  <si>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</si>
  <si>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</si>
  <si>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</si>
  <si>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</si>
  <si>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</si>
  <si>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</si>
  <si>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</si>
  <si>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</si>
  <si>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</si>
  <si>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</si>
  <si>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</si>
  <si>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</si>
  <si>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</si>
  <si>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</si>
  <si>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</si>
  <si>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</si>
  <si>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</si>
  <si>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</si>
  <si>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</si>
  <si>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</si>
  <si>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</si>
  <si>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</si>
  <si>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</si>
  <si>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</si>
  <si>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</si>
  <si>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</si>
  <si>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</si>
  <si>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</si>
  <si>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The group learned that Reitzpark Primary School relies heavily on WhatsApp, Facebook and printed circulars to reach parents, but has no reliable way to confirm a notice was received or read, and that many parents lack smartphones or data. This directly informed the Parent Acknowledgement and Read/Unread Tracking requirements in the SRS.</t>
  </si>
  <si>
    <t>Improvement action 1 for the next phase</t>
  </si>
  <si>
    <t>Improvement action 2 for the next phase</t>
  </si>
  <si>
    <t>Priority for the next phase</t>
  </si>
  <si>
    <t>https://www.figma.com/proto/pG7mL3Oj2Rr37JAT9r7WJv/School-Parental-system?node-id=42-238&amp;p=f&amp;t=0WVSbhhXYOH6dG98-1&amp;scaling=scale-down&amp;content-scaling=fixed&amp;page-id=0%3A1&amp;starting-point-node-id=42%3A238</t>
  </si>
  <si>
    <t>Attached screenshots to our srs submission</t>
  </si>
  <si>
    <t>Some of the the teachers at the school didn’t like our design of our mobile application as they felt it might be complicated for some parents to use</t>
  </si>
  <si>
    <t>We had to redesign our mobile application prototype to try and make it easier for some parents to be able to navigate the mobile application</t>
  </si>
  <si>
    <t xml:space="preserve">Mobile design prototype was adjusted slightly as to make it esier for parents </t>
  </si>
  <si>
    <t xml:space="preserve">Being able to think outside the box and finding ways to be more creative and adapt according to what will make our stakeholders satisfied </t>
  </si>
  <si>
    <t xml:space="preserve">yes as each person did the task they were given </t>
  </si>
  <si>
    <t xml:space="preserve">We would have a group meeting to discuss whatever disagreement we had at the time </t>
  </si>
  <si>
    <t>Communication should be on point and we must communicate more and work according to our planned schedule</t>
  </si>
  <si>
    <t>LP Moshoeu</t>
  </si>
  <si>
    <t>A Sithole</t>
  </si>
  <si>
    <t>MA Nkuna</t>
  </si>
  <si>
    <t>ST Pheko</t>
  </si>
  <si>
    <t>TMC Motone</t>
  </si>
  <si>
    <t>PA Luthanda</t>
  </si>
  <si>
    <t>Figma(Mobile Application)</t>
  </si>
  <si>
    <t>Figma(Web)</t>
  </si>
  <si>
    <t>ERD</t>
  </si>
  <si>
    <t>System Architecture</t>
  </si>
  <si>
    <t>Sequence Diagram</t>
  </si>
  <si>
    <t>Use Case Diagram</t>
  </si>
  <si>
    <t>25/09/2026</t>
  </si>
  <si>
    <t>Do The figma mobile application</t>
  </si>
  <si>
    <t>To do the figma web</t>
  </si>
  <si>
    <t>To make our ERD</t>
  </si>
  <si>
    <t>To make the system Archicture</t>
  </si>
  <si>
    <t>To draw up our Sequence Diagram</t>
  </si>
  <si>
    <t xml:space="preserve">To make our use case </t>
  </si>
  <si>
    <t>Site Visit</t>
  </si>
  <si>
    <t>We went to present our Figma mobile application prototype and Website prototype to get approval</t>
  </si>
  <si>
    <t xml:space="preserve">The teachers were worried that our mobile application might be just a bit difficult for some parents to navigate </t>
  </si>
  <si>
    <t>We promised teachers that we will make a short video tutorial on how to navigate the mobile application app so that we make it easier for parents to grasp how it works</t>
  </si>
  <si>
    <t>https://www.figma.com/proto/pG7mL3Oj2Rr37JAT9r7WJv/School-Parental-system?node-id=42-238&amp;p=f&amp;t=0WVSbhhXYOH6dG98-1&amp;scaling=scale-down&amp;content-scaling=fixed&amp;page-id=0%3A1&amp;starting-point-node-id=42%3A238, https://www.figma.com/proto/lPObV3qt8TfARP7lGBJZqU/School-Parental-System?node-id=197-2563&amp;p=f&amp;viewport=-167%2C288%2C0.1&amp;t=Gi9OyypmECYmlsAf-1&amp;scaling=contain&amp;content-scaling=fixed&amp;starting-point-node-id=197%3A2563&amp;page-id=0%3A1, https://www.figma.com/proto/lPObV3qt8TfARP7lGBJZqU/School-Parental-System?node-id=224-463&amp;p=f&amp;viewport=-107%2C84%2C0.19&amp;t=7iRvLo52rvJGZx2o-1&amp;scaling=contain&amp;content-scaling=fixed&amp;page-id=218%3A2&amp;starting-point-node-id=281%3A2266</t>
  </si>
  <si>
    <t>https://viewer.diagrams.net/?tags=%7B%7D&amp;lightbox=1&amp;highlight=0000ff&amp;edit=_blank&amp;layers=1&amp;nav=1&amp;dark=auto#Uhttps%3A%2F%2Fdrive.google.com%2Fuc%3Fid%3D1ClYwvn3JjYWEF-mdmsHK64CJf6675N-G%26export%3Ddownload</t>
  </si>
  <si>
    <t>https://www.figma.com/proto/lPObV3qt8TfARP7lGBJZqU/School-Parental-System?node-id=197-2563&amp;p=f&amp;viewport=-167%2C288%2C0.1&amp;t=Gi9OyypmECYmlsAf-1&amp;scaling=contain&amp;content-scaling=fixed&amp;starting-point-node-id=197%3A2563&amp;page-id=0%3A1 , https://www.figma.com/proto/lPObV3qt8TfARP7lGBJZqU/School-Parental-System?node-id=224-463&amp;p=f&amp;viewport=-107%2C84%2C0.19&amp;t=7iRvLo52rvJGZx2o-1&amp;scaling=contain&amp;content-scaling=fixed&amp;page-id=218%3A2&amp;starting-point-node-id=281%3A2266</t>
  </si>
  <si>
    <t>https://viewer.diagrams.net/?tags=%7B%7D&amp;lightbox=1&amp;highlight=0000ff&amp;edit=_blank&amp;layers=1&amp;nav=1&amp;dark=auto#R%3Cmxfile%3E%3Cdiagram%20name%3D%22Page-1%22%20id%3D%22tkUWnzN3mPbntrwzPGwB%22%3E7V3bkqM4Ev2aehwHAsTlscrV07MR3bG9XRszu4%2BUUdvM2OAF1W2%2BfiVA2Eq7bCwrsd3lio4ZI4MwR0c6mamUuPHGi9fPZbKcfS1SNr9xnfT1xru%2FcV0SOp74nyx5a0uI4zQl0zJL27JVwUP2N2sL1WlPWcoq7UReFHOeLfXCSZHnbMK1sqQsixf9tB%2FFXL%2FrMpmyjYKHSTLfLP0jS%2FmsKY2osyr%2FjWXTGYfPt0jUyW1BNUvS4mWtyPt0443LouDNp8XrmM0legqX5rpf3%2Fm2%2B2Ely3mfC5Ln32c%2F%2FvVHOA0S8s9oufj%2Bd%2FXply21tEUVf1MYlMVTnjJZjXPj3b3MMs4elslEfvsiml2UzfhiLo6I%2BNhc%2FZzMn9qr2wJWcva6dof2R35mxYLx8k2cMlvHMQ5a2F5WqFMFZVuPp45bcvntYdK2%2BbSrewWL%2BNAicwBKbh%2BURPsu5cenxfx2wotSYCEfOhNc%2BpI8svm3osp4VuTilMeC82KxdsLtPJvKL3gB0PxR5LztFCTehu7D05KVoug2XWS5EdQx3QA60nEOdZhJjIUz7YOzqEd0fmbAxO9smlW8huthMhOjiBFe4SYxiQ%2BI6dGBEAtwEUvSVFbVguWkCU%2BwMKMxwIxiYRbiYiYkkHF2KthcDwu2qKmXpRuCuYlj8VRO2I666CbeeXor5VocFUsmxsI7UaJGPoHTXZpUs1qDiI6%2FLk7il5Rv%2F1k%2F%2BK88GFF1eP%2B6%2FuX9mzp6zXh92Sj2aXvcXOnVd5fHq0vlwfqV31iZCZDFyNKUNU%2FHk3LK%2BP7Oq2llkCwkwea8rmb96B%2F5ZP6USmJ15VPtrPZoG6lKNk949qw33Dqrgh2saav7VmSimTvi%2BZB4DqiiIUF71bpdAiqi4Z6KGhw3KqpJ3D2jOa%2BVpWmF2CEasRVBNXLS3dTsOsMo9vT%2BEO3rD%2FLIkNb0IFp%2FeuWsfs5z4XUY6nRUFuyhvA4caATQYXndy2o117nnjL3Ip6l%2FSaN1FZpB5etY%2BmjGAfFxUWNpxjXbgPEkwwMuoAA4NPOAUIvDqOLuWRoIQayNwcGeQdjcPlBcvFAD4acZSHs5WSdy%2F9U4Yu7%2FE3JoACDaRYbjAi1OH6htaRYXvSXnFbKHBoMBFG0I3jXi2tSuNdyQ1SsYDDrXonp1EV80L4Ac4AX0FBv1dBcqNhHRmOIFgR2x8YJhxcbtFQM9jdg0v8mst2%2BJMitkVSVOpMtMiBY1dXuFALFBdv1tIP%2BbJZOZjFEjgUx1kAnktzWQPW8QLR%2FPsnk6gBZBGQ9cLHZ6vkUtUq1gX4t66op3WDjo7HQFWCA%2B6C69dYXsqQhZVzzkubW2N05Ub0y4DOsl%2BUQ2ZZKn4r%2Bfy0RO5btjrC4KzcUAbULYQ55Duq3n3XgjBYNF1UKChlc8CPtWgOF6dBA3NENF3diOFMRYUmDilpgG4nrKjn%2Fh7gw0NkJD2XFBRcoeGEh2%2FGFCEquO3zZX%2Flgt6%2FPRQxQgNhaiaY4%2FkILPk6pitYRXlXBi6pk5Xgw1lhIHbzCNcAEclyypEz86CA0gi3pABly4CMbD7eVjIYdjPzW9t8ZrvauK245va%2Fbpot7YkQ%2Br%2BKPk5VFwb%2FGYu8Sjd6zKyI2w4LY5habY%2FiHUXjXZz6H2YWTqZILZ3jAEvwVZ7ekgZv6GxK98zapuoElRpltMAUujMd09GhMXgm4v2RPZ62wtAOWnCySXRcnRgAsAcD6ajgXIyt9Qbg26gajmRWhUQ%2B7Jrd0%2BRcUL2ubEQ7Mt1Z2sSHeALt0yi0VT7yBSam5Xv4%2FJjo0vWtNBemwEu2pvTYfmpw%2FMT2RND5E9%2BInympI8F1ydsIW8jRvUjVotk1y7UfC%2FJ7leqrnLL1Vzm1v580rWNHZ7gvikmv%2FG9ZrpzKClza9NtUHHiEHkjcZYfkOIbBf83mbN%2FOQNFKGpQ9QrdCOeTz5v0k4dT8Spcsxspozb02T7wDnmRZam8kvZGJMsn35hP%2BQ9vFXJ9xaYuoiXxV9sXMzlhPZ9XuSsVgme8OSxvoUcopdyNKlRoHfin%2FTH5VhP7%2BXsDb0jq2PxT55e8nGRi6qTrH4%2BllT8hVX85t25b7qNaF0227caqER%2BfHirOFtYsebdYIMUINGNutCBQmIE6ZfnYSsYJWt9evyTTQyzNwyiUjFabyIu8qq3r0n5l%2BZWGmHWJ%2FgJDXqC5juSfjkvFnS8JdyGl26z6GeXohCugbLIA2TPruMBe24a59ro7zQ69E5DtPgHwc7%2B%2BFJM5W%2FIrci0wayRhzduWp2CdzcxXzn2rS12YNzdA3%2B73Xhzd3xbGldvX%2FoAvxlIog9btn%2FC1Z6KsFeNqKnvMyDOkWueTkM4sjVzEIFy3e4M3UIlQ8rBUclVmZyDUc69Uu4oyrkDMQ7Ye67n2mGcB6mLzjjv%2FBg3cnxfZ50Xxqfh3THL6L1t8e9LIqPvDJviTHyb%2BROd%2FBxJRwKouIVSh%2B7DsJrFcTydsHuncY4YG7ftVnLWdAz0JWERzKFEp2Ngk447k3fPgo0aE62sSRyKc54f6zIKs2T7cg6SN3aGnawjfmhTj3euY%2B3rrh7CC0yenh3ngFqaJn0RGHiHqzjQOWdzZzBv5w5KV85Z5Vy39dbR49zgfkdsk3PHaevKGnP1nWFCQ4fhg5ARJqtSUzKCQHoMd4nAJiO1GSLenbd9HQCP5Jxu6EWUGHLu1IYetRld7rIRrqTDIB3kiuka8tOTzma0j9pS3djTeOcGezZsRfaFL4yNxIErFi%2BHjjY3ygiujgci6UJfJ10XnLs80tkMMqvk6ivprqTbSTqbYb0uBezKOhTWwQ224OIRY7%2BWDM06m4G98KqviKQDW%2BeRyNjHiGBkb2jS2YzsuQik20YfKzE%2BS2vhsfKmBGrJ29oJ7RqRdzkZOTqTvHZeYkWYpsaBsxIGT8oKbEZqPiKh1dzCifkcAz77jrOTeBFIQKXOQfx3wngU6wasKB0ZDut%2B5I%2Fi9T%2B9ZhpEIxgKRe8Xrs1%2BgRDAtNcvnFEsLHitbwR7M9KOMTvORQJAZq1PopF3UCeAKuAY7oPmx7v5H56A%2F1ZTJy9IF%2Byogn8eFO8mG5W9HB02ylsjONyoFk7to9PZZjD249G5W9R6aj6Dd6qq97D2tloAn4kpn2Hwjgyd1hTYTN%2F8eIRWfvypTRAYz%2FAP4zNcG%2BQZj8965gFx4fp4dD7bjOadt72NwWeVEnxqPgNCqtcQGPI5Mg2r%2BOGelGl0OluNE541neXrOwMQw0b0Hs9k5I430mYOYjoB4ZrIN2V6oFsiG28VwGa61b3lPp4honTv1HQG4cCYHjZwAzvGNd0RHg7cZOPl9Oh8vgbEj%2FUVw%2FOgNJygdvdExIHxQfz4VMZ4BH6IP%2FDawND9MH3AkdMYuvGydxeAI6yX8Dz6RvTOCpl3%2B4YP%2BgY9zLCH5o4LGd23b1AQACIhfNc2et%2BwGhg%2Fa8seRx%2BC8%2BwCxw73xr4qBX2DeMqkH4zSVoPjKBsT9H4But2ucGGjOngJJKGHJbU4cFdol4yC1Z%2FxkK1NbgbAuBl8PZyaesLbnzNPpkPubQr34I7RXvJEQquZvrsGCjv7yHtuqA0I9Oz2ke%2FoeJkbyUPxMl49trGRfDBwZifyxqPf2TSrJDvc9TfUN6%2BMOubN1QbbUW7M7fQYH8RhWcidSVeYi2eefS1SJs%2F4Pw%3D%3D%3C%2Fdiagram%3E%3C%2Fmxfile%3E</t>
  </si>
  <si>
    <t xml:space="preserve">Coming up with ideas for our web and mobile figma prototypes </t>
  </si>
  <si>
    <t>It made us take longer to design as it required a lot of brainstrtorming and planning</t>
  </si>
  <si>
    <t xml:space="preserve">We made suggestions to what could be improved or adjusted as to make it more easier to to make the necessary changes and adjustments </t>
  </si>
  <si>
    <t>20/09/2026</t>
  </si>
  <si>
    <t>Brainstorming and coming up with ideas to make our website more attractive and pleasing to the eye</t>
  </si>
  <si>
    <t xml:space="preserve">Build our fully functional School Prental System </t>
  </si>
  <si>
    <t xml:space="preserve">Being able to link our ASP.NET with supabase and flutter so that whatever that is upload on our ASP.NET application must appear on our flutter app e.g such as attendance that is marked on our ASP.NET must be visible on the flutter app </t>
  </si>
  <si>
    <t>None</t>
  </si>
  <si>
    <t>U3-01</t>
  </si>
  <si>
    <t>Section 1</t>
  </si>
  <si>
    <t>Implement the shared Supabase backend from the approved ERD: required tables and fields (Schools, Users, Students, Teachers, Classes, Enrollments, Attendance, Grades, Announcements, Announcement Recipients, Notifications, Events) with primary keys, foreign keys and relationships</t>
  </si>
  <si>
    <t>Supabase project tables and schema script (GitHub backend setup folder); schema screenshots in SRS Implementation section</t>
  </si>
  <si>
    <t>U3-02</t>
  </si>
  <si>
    <t>Configure Supabase authentication, user roles and permissions (row-level access) as required by the approved SRS, and confirm Flutter and ASP.NET use the same Supabase project with demonstration data</t>
  </si>
  <si>
    <t>Supabase Auth/policy configuration screenshots (no keys shown); dummy demo records</t>
  </si>
  <si>
    <t>U3-03</t>
  </si>
  <si>
    <t>Section 2</t>
  </si>
  <si>
    <t>Develop the Flutter mobile application: main approved screens, navigation, forms and input validation based on the Figma mobile design</t>
  </si>
  <si>
    <t>Source code in mobile/ folder on GitHub; mobile screenshots in SRS</t>
  </si>
  <si>
    <t>U3-04</t>
  </si>
  <si>
    <t>Connect the Flutter application to Supabase: authentication, role-based access and the main required functions (e.g. attendance, announcements, notifications)</t>
  </si>
  <si>
    <t>Flutter app running against shared Supabase backend; mobile/ folder commits</t>
  </si>
  <si>
    <t>U3-05</t>
  </si>
  <si>
    <t>Section 3</t>
  </si>
  <si>
    <t>Develop the ASP.NET web application: main approved pages, navigation, forms and input validation based on the Figma web design</t>
  </si>
  <si>
    <t>Source code in web/ folder on GitHub; web screenshots in SRS</t>
  </si>
  <si>
    <t>U3-06</t>
  </si>
  <si>
    <t>Connect the ASP.NET application to Supabase: authentication, role-based access and the main required functions (e.g. marking attendance, posting announcements)</t>
  </si>
  <si>
    <t>ASP.NET app running against the same Supabase backend; web/ folder commits</t>
  </si>
  <si>
    <t>U3-07</t>
  </si>
  <si>
    <t>Section 4</t>
  </si>
  <si>
    <t>Shared process 1 - data submission and retrieval: attendance marked on the ASP.NET web application is saved to Supabase and retrieved on the Flutter mobile application</t>
  </si>
  <si>
    <t>Demonstrated web-to-mobile attendance flow; before/after screenshots in SRS</t>
  </si>
  <si>
    <t>U3-08</t>
  </si>
  <si>
    <t>Shared process 2 - shared update and display: an authorised update in one application (e.g. announcement or other approved record) is retrieved and displayed in the other application</t>
  </si>
  <si>
    <t>Demonstrated second shared process; screenshots in SRS</t>
  </si>
  <si>
    <t>U3-09</t>
  </si>
  <si>
    <t>Section 5</t>
  </si>
  <si>
    <t>Update the final SRS (single PDF): add Implementation and Final Prototype section with component overview, requirements-to-function table (working/incomplete), screenshots, approved changes, limitations, GitHub link and final Microsoft Project screenshot</t>
  </si>
  <si>
    <t>Updated BRIGHT_WEB_CRAFTERS_SRS.pdf (Phase 3 section in progress)</t>
  </si>
  <si>
    <t>U3-10</t>
  </si>
  <si>
    <t>Section 6</t>
  </si>
  <si>
    <t>Organise GitHub repository (mobile/ and web/ folders, README with setup/run instructions, backend schema scripts) and prepare final source-code ZIP matching the demonstrated version; confirm no passwords or secret keys are included</t>
  </si>
  <si>
    <t>GitHub repository link; ZIP 'Group [Letter] Phase 3'</t>
  </si>
  <si>
    <t>U3-11</t>
  </si>
  <si>
    <t>Update the Microsoft Project file with actual progress, responsibilities, completed development work and remaining tasks; capture final schedule screenshot for the SRS</t>
  </si>
  <si>
    <t>Updated editable .mpp file; schedule screenshot in SRS</t>
  </si>
  <si>
    <t>U3-12</t>
  </si>
  <si>
    <t>Update the ITC327W Project Progress Tracker: Task Progress, Individual Contributions, Challenges &amp; Actions, Phase Summary and Phase 3 Group Reflection</t>
  </si>
  <si>
    <t>ITC327W_Project_Progress_Tracker_2026.xlsx (this workbook)</t>
  </si>
  <si>
    <t>U3-13</t>
  </si>
  <si>
    <t>Section 7</t>
  </si>
  <si>
    <t>Prepare the final presentation and live demonstration: stakeholder problem and solution, Supabase backend, mobile demo, web demo, two shared processes, limitations; all members rehearsed for questions</t>
  </si>
  <si>
    <t>Presentation slides and demo script; dummy data prepared</t>
  </si>
  <si>
    <t>U3-14</t>
  </si>
  <si>
    <t>Section 8</t>
  </si>
  <si>
    <t>Submit the group ZIP on Blackboard (one member), and each member completes the confidential individual contribution check</t>
  </si>
  <si>
    <t>Flutter and supabase</t>
  </si>
  <si>
    <t>ASP.NET and supabase</t>
  </si>
  <si>
    <t xml:space="preserve">Flutter and supabase </t>
  </si>
  <si>
    <t>25/10/2026</t>
  </si>
  <si>
    <t>Developing some functions of flutter and making sure its connected to our supabase and it communicates with our ASP.NET application</t>
  </si>
  <si>
    <t>Developing some functions of our ASP.NET application and makiing sure it communicates with our supabase and that when they mark attendence what ever the case may be it interlinks withour flutter</t>
  </si>
  <si>
    <t>Completed our project build of flutter and ASP.NET</t>
  </si>
  <si>
    <t>nothing</t>
  </si>
  <si>
    <t>The stakeholder interviews with Reitzpark Primary School staff were particularly important, directly shaping the communication</t>
  </si>
  <si>
    <t>yes</t>
  </si>
  <si>
    <t>setting up supabase as we had a clear uml diagram that guided us in ensuring we have everything necessary</t>
  </si>
  <si>
    <t>3 Members of the group did ASP.NET while the other 3 dealt with ASP.net</t>
  </si>
  <si>
    <t>Submitted our project</t>
  </si>
  <si>
    <t>Sections 1 &amp; 2</t>
  </si>
  <si>
    <t>Sections 1 &amp; 3</t>
  </si>
  <si>
    <t>We went to present our final project for both our ASP.NET application and flutter application and they where happy with our project</t>
  </si>
  <si>
    <t>MM Landman</t>
  </si>
  <si>
    <t>the school admin was concerned that the system might be tricky to se but they also said with time they will get used to the system</t>
  </si>
  <si>
    <t>We must make a video for the school so that they can find it more easier to use the system</t>
  </si>
  <si>
    <t>we found that most parents would like if they could also view their kids previous reports on the flutter mobile application</t>
  </si>
  <si>
    <t xml:space="preserve">We needed to re code our reports page so that the parents don’t just access their kids current reports but also their past reports </t>
  </si>
  <si>
    <t xml:space="preserve">We made the system to be able to show previous reports </t>
  </si>
  <si>
    <t>group</t>
  </si>
  <si>
    <t>21/10/2026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</si>
</sst>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
    <numFmt numFmtId="167" formatCode="0.0"/>
  </numFmts>
  <fonts count="7" x14ac:knownFonts="1">
    <font>
      <sz val="11"/>
      <name val="Calibri"/>
      <charset val="1"/>
    </font>
    <font>
      <b/>
      <sz val="16"/>
      <color rgb="FFFFFFFF"/>
      <name val="Calibri"/>
      <charset val="1"/>
    </font>
    <font>
      <i/>
      <sz val="11"/>
      <color rgb="FF1F2937"/>
      <name val="Calibri"/>
      <charset val="1"/>
    </font>
    <font>
      <b/>
      <sz val="11"/>
      <color rgb="FFFFFFFF"/>
      <name val="Calibri"/>
      <charset val="1"/>
    </font>
    <font>
      <b/>
      <sz val="11"/>
      <color rgb="FF0B2E59"/>
      <name val="Calibri"/>
      <charset val="1"/>
    </font>
    <font>
      <sz val="11"/>
      <color rgb="FF1F2937"/>
      <name val="Calibri"/>
      <charset val="1"/>
    </font>
    <font>
      <u/>
      <sz val="11"/>
      <color theme="10"/>
      <name val="Calibri"/>
      <charset val="1"/>
    </font>
  </fonts>
  <fills count="7">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DCFCE7"/>
      </patternFill>
    </fill>
    <fill>
      <patternFill patternType="solid">
        <fgColor rgb="FFF4F8FC"/>
        <bgColor rgb="FFFFFFFF"/>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3" fillId="2" borderId="0" xfId="0" applyFont="1" applyFill="1" applyAlignment="1">
      <alignment horizontal="center" vertical="center" wrapText="1"/>
    </xf>
    <xf numFmtId="0" fontId="4" fillId="5" borderId="0" xfId="0" applyFont="1" applyFill="1" applyAlignment="1">
      <alignment horizontal="left" vertical="center" wrapText="1"/>
    </xf>
    <xf numFmtId="0" fontId="0" fillId="0" borderId="0" xfId="0" applyAlignment="1">
      <alignment wrapText="1"/>
    </xf>
    <xf numFmtId="0" fontId="5" fillId="6" borderId="0" xfId="0" applyFont="1" applyFill="1" applyAlignment="1">
      <alignment vertical="top" wrapText="1"/>
    </xf>
    <xf numFmtId="0" fontId="0" fillId="0" borderId="0" xfId="0" applyAlignment="1">
      <alignment horizontal="center"/>
    </xf>
    <xf numFmtId="164" fontId="5" fillId="6" borderId="0" xfId="0" applyNumberFormat="1" applyFont="1" applyFill="1" applyAlignment="1">
      <alignment vertical="top" wrapText="1"/>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167" fontId="0" fillId="0" borderId="0" xfId="0" applyNumberFormat="1" applyAlignment="1">
      <alignment vertical="top" wrapText="1"/>
    </xf>
    <xf numFmtId="0" fontId="6" fillId="0" borderId="0" xfId="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4" borderId="0" xfId="0" applyFont="1" applyFill="1" applyAlignment="1">
      <alignment horizontal="left" vertical="center"/>
    </xf>
    <xf numFmtId="0" fontId="3" fillId="2" borderId="0" xfId="0" applyFont="1" applyFill="1" applyAlignment="1">
      <alignment horizontal="center" vertical="center" wrapText="1"/>
    </xf>
  </cellXfs>
  <cellStyles count="2">
    <cellStyle name="Hyperlink" xfId="1" builtinId="8"/>
    <cellStyle name="Normal" xfId="0" builtinId="0"/>
  </cellStyles>
  <dxfs count="12">
    <dxf>
      <fill>
        <patternFill>
          <bgColor rgb="FFFEE2E2"/>
        </patternFill>
      </fill>
    </dxf>
    <dxf>
      <fill>
        <patternFill>
          <bgColor rgb="FFDCFCE7"/>
        </patternFill>
      </fill>
    </dxf>
    <dxf>
      <fill>
        <patternFill>
          <bgColor rgb="FFFEE2E2"/>
        </patternFill>
      </fill>
    </dxf>
    <dxf>
      <fill>
        <patternFill>
          <bgColor rgb="FFDCEAF7"/>
        </patternFill>
      </fill>
    </dxf>
    <dxf>
      <fill>
        <patternFill>
          <bgColor rgb="FFDCFCE7"/>
        </patternFill>
      </fill>
    </dxf>
    <dxf>
      <fill>
        <patternFill>
          <bgColor rgb="FFFEE2E2"/>
        </patternFill>
      </fill>
    </dxf>
    <dxf>
      <fill>
        <patternFill>
          <bgColor rgb="FFDCFCE7"/>
        </patternFill>
      </fill>
    </dxf>
    <dxf>
      <font>
        <b/>
      </font>
      <fill>
        <patternFill>
          <bgColor rgb="FFFEE2E2"/>
        </patternFill>
      </fill>
    </dxf>
    <dxf>
      <fill>
        <patternFill>
          <bgColor rgb="FFFEE2E2"/>
        </patternFill>
      </fill>
    </dxf>
    <dxf>
      <fill>
        <patternFill>
          <bgColor rgb="FFFEF3C7"/>
        </patternFill>
      </fill>
    </dxf>
    <dxf>
      <fill>
        <patternFill>
          <bgColor rgb="FFDCEAF7"/>
        </patternFill>
      </fill>
    </dxf>
    <dxf>
      <fill>
        <patternFill>
          <bgColor rgb="FFDCFC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8E1"/>
      <rgbColor rgb="FFDCFCE7"/>
      <rgbColor rgb="FF660066"/>
      <rgbColor rgb="FFFF8080"/>
      <rgbColor rgb="FF1F5A94"/>
      <rgbColor rgb="FFD9D9D9"/>
      <rgbColor rgb="FF000080"/>
      <rgbColor rgb="FFFF00FF"/>
      <rgbColor rgb="FFFFFF00"/>
      <rgbColor rgb="FF00FFFF"/>
      <rgbColor rgb="FF800080"/>
      <rgbColor rgb="FF800000"/>
      <rgbColor rgb="FF008080"/>
      <rgbColor rgb="FF0000FF"/>
      <rgbColor rgb="FF00CCFF"/>
      <rgbColor rgb="FFDCEAF7"/>
      <rgbColor rgb="FFF4F8FC"/>
      <rgbColor rgb="FFFEF3C7"/>
      <rgbColor rgb="FF99CCFF"/>
      <rgbColor rgb="FFFF99CC"/>
      <rgbColor rgb="FFCC99FF"/>
      <rgbColor rgb="FFFEE2E2"/>
      <rgbColor rgb="FF3366FF"/>
      <rgbColor rgb="FF33CCCC"/>
      <rgbColor rgb="FF99CC00"/>
      <rgbColor rgb="FFFFCC00"/>
      <rgbColor rgb="FFFF9900"/>
      <rgbColor rgb="FFFF6600"/>
      <rgbColor rgb="FF666699"/>
      <rgbColor rgb="FF969696"/>
      <rgbColor rgb="FF0B2E59"/>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Task Status Summary</a:t>
            </a:r>
          </a:p>
        </c:rich>
      </c:tx>
      <c:overlay val="0"/>
      <c:spPr>
        <a:noFill/>
        <a:ln w="0">
          <a:noFill/>
        </a:ln>
      </c:spPr>
    </c:title>
    <c:autoTitleDeleted val="0"/>
    <c:plotArea>
      <c:layout/>
      <c:barChart>
        <c:barDir val="col"/>
        <c:grouping val="clustered"/>
        <c:varyColors val="0"/>
        <c:ser>
          <c:idx val="0"/>
          <c:order val="0"/>
          <c:tx>
            <c:v>Count</c:v>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30</c:v>
                </c:pt>
                <c:pt idx="1">
                  <c:v>0</c:v>
                </c:pt>
                <c:pt idx="2">
                  <c:v>0</c:v>
                </c:pt>
                <c:pt idx="3">
                  <c:v>0</c:v>
                </c:pt>
                <c:pt idx="4">
                  <c:v>0</c:v>
                </c:pt>
                <c:pt idx="5">
                  <c:v>0</c:v>
                </c:pt>
              </c:numCache>
            </c:numRef>
          </c:val>
          <c:extLst>
            <c:ext xmlns:c16="http://schemas.microsoft.com/office/drawing/2014/chart" uri="{C3380CC4-5D6E-409C-BE32-E72D297353CC}">
              <c16:uniqueId val="{00000000-7398-466A-8BAC-ACBBE6C658AF}"/>
            </c:ext>
          </c:extLst>
        </c:ser>
        <c:dLbls>
          <c:showLegendKey val="0"/>
          <c:showVal val="0"/>
          <c:showCatName val="0"/>
          <c:showSerName val="0"/>
          <c:showPercent val="0"/>
          <c:showBubbleSize val="0"/>
        </c:dLbls>
        <c:gapWidth val="150"/>
        <c:axId val="29116181"/>
        <c:axId val="3506758"/>
      </c:barChart>
      <c:catAx>
        <c:axId val="2911618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506758"/>
        <c:crosses val="autoZero"/>
        <c:auto val="1"/>
        <c:lblAlgn val="ctr"/>
        <c:lblOffset val="100"/>
        <c:noMultiLvlLbl val="0"/>
      </c:catAx>
      <c:valAx>
        <c:axId val="350675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9116181"/>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12</xdr:col>
      <xdr:colOff>761</xdr:colOff>
      <xdr:row>15</xdr:row>
      <xdr:rowOff>135000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skProgressTable" displayName="TaskProgressTable" ref="A2:M101" totalsRowShown="0">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otalsRowShown="0">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otalsRowShown="0">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ChallengesActionsTable" displayName="ChallengesActionsTable" ref="A2:H101" totalsRowShown="0">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figma.com/proto/pG7mL3Oj2Rr37JAT9r7WJv/School-Parental-system?node-id=42-238&amp;p=f&amp;t=0WVSbhhXYOH6dG98-1&amp;scaling=scale-down&amp;content-scaling=fixed&amp;page-id=0%3A1&amp;starting-point-node-id=42%3A23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figma.com/proto/lPObV3qt8TfARP7lGBJZqU/School-Parental-System?node-id=197-2563&amp;p=f&amp;viewport=-167%2C288%2C0.1&amp;t=Gi9OyypmECYmlsAf-1&amp;scaling=contain&amp;content-scaling=fixed&amp;starting-point-node-id=197%3A2563&amp;page-id=0%3A1" TargetMode="External"/><Relationship Id="rId2" Type="http://schemas.openxmlformats.org/officeDocument/2006/relationships/hyperlink" Target="https://viewer.diagrams.net/?tags=%7B%7D&amp;lightbox=1&amp;highlight=0000ff&amp;edit=_blank&amp;layers=1&amp;nav=1&amp;dark=auto" TargetMode="External"/><Relationship Id="rId1" Type="http://schemas.openxmlformats.org/officeDocument/2006/relationships/hyperlink" Target="https://www.figma.com/proto/pG7mL3Oj2Rr37JAT9r7WJv/School-Parental-system?node-id=42-238&amp;p=f&amp;t=0WVSbhhXYOH6dG98-1&amp;scaling=scale-down&amp;content-scaling=fixed&amp;page-id=0%3A1&amp;starting-point-node-id=42%3A238" TargetMode="Externa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6" zoomScale="113" zoomScaleNormal="100" workbookViewId="0">
      <selection activeCell="A10" sqref="A10"/>
    </sheetView>
  </sheetViews>
  <sheetFormatPr defaultColWidth="8.77734375" defaultRowHeight="14.4" x14ac:dyDescent="0.3"/>
  <cols>
    <col min="1" max="1" width="24" customWidth="1"/>
    <col min="2" max="2" width="48" customWidth="1"/>
    <col min="3" max="3" width="3" customWidth="1"/>
    <col min="4" max="4" width="10" customWidth="1"/>
    <col min="5" max="5" width="53.88671875" customWidth="1"/>
    <col min="6" max="8" width="12" customWidth="1"/>
  </cols>
  <sheetData>
    <row r="1" spans="1:8" ht="19.5" customHeight="1" x14ac:dyDescent="0.3">
      <c r="A1" s="12" t="s">
        <v>0</v>
      </c>
      <c r="B1" s="12"/>
      <c r="C1" s="12"/>
      <c r="D1" s="12"/>
      <c r="E1" s="12"/>
      <c r="F1" s="12"/>
      <c r="G1" s="12"/>
      <c r="H1" s="12"/>
    </row>
    <row r="3" spans="1:8" ht="27.75" customHeight="1" x14ac:dyDescent="0.3">
      <c r="A3" s="13" t="s">
        <v>1</v>
      </c>
      <c r="B3" s="13"/>
      <c r="C3" s="13"/>
      <c r="D3" s="13"/>
      <c r="E3" s="13"/>
      <c r="F3" s="13"/>
      <c r="G3" s="13"/>
      <c r="H3" s="13"/>
    </row>
    <row r="5" spans="1:8" ht="14.25" customHeight="1" x14ac:dyDescent="0.3">
      <c r="A5" s="1" t="s">
        <v>2</v>
      </c>
      <c r="B5" s="1" t="s">
        <v>3</v>
      </c>
      <c r="D5" s="14" t="s">
        <v>4</v>
      </c>
      <c r="E5" s="14"/>
      <c r="F5" s="14"/>
      <c r="G5" s="14"/>
      <c r="H5" s="14"/>
    </row>
    <row r="6" spans="1:8" ht="45" customHeight="1" x14ac:dyDescent="0.3">
      <c r="A6" s="2" t="s">
        <v>5</v>
      </c>
      <c r="B6" s="3" t="s">
        <v>6</v>
      </c>
      <c r="D6" s="2" t="s">
        <v>7</v>
      </c>
      <c r="E6" s="3" t="s">
        <v>8</v>
      </c>
    </row>
    <row r="7" spans="1:8" ht="41.25" customHeight="1" x14ac:dyDescent="0.3">
      <c r="A7" s="2" t="s">
        <v>9</v>
      </c>
      <c r="B7" s="3" t="s">
        <v>10</v>
      </c>
      <c r="D7" s="2" t="s">
        <v>11</v>
      </c>
      <c r="E7" s="3" t="s">
        <v>12</v>
      </c>
    </row>
    <row r="8" spans="1:8" ht="35.25" customHeight="1" x14ac:dyDescent="0.3">
      <c r="A8" s="2" t="s">
        <v>13</v>
      </c>
      <c r="B8" s="3" t="s">
        <v>14</v>
      </c>
      <c r="D8" s="2" t="s">
        <v>15</v>
      </c>
      <c r="E8" s="3" t="s">
        <v>16</v>
      </c>
    </row>
    <row r="9" spans="1:8" ht="34.5" customHeight="1" x14ac:dyDescent="0.3">
      <c r="A9" s="2" t="s">
        <v>17</v>
      </c>
      <c r="B9" s="3" t="s">
        <v>18</v>
      </c>
      <c r="D9" s="2" t="s">
        <v>19</v>
      </c>
      <c r="E9" s="3" t="s">
        <v>20</v>
      </c>
    </row>
    <row r="10" spans="1:8" ht="44.25" customHeight="1" x14ac:dyDescent="0.3">
      <c r="A10" s="2" t="s">
        <v>21</v>
      </c>
      <c r="B10" s="3" t="s">
        <v>22</v>
      </c>
      <c r="D10" s="2" t="s">
        <v>23</v>
      </c>
      <c r="E10" s="3" t="s">
        <v>24</v>
      </c>
    </row>
    <row r="11" spans="1:8" ht="38.25" customHeight="1" x14ac:dyDescent="0.3">
      <c r="A11" s="2" t="s">
        <v>25</v>
      </c>
      <c r="B11" s="3" t="s">
        <v>26</v>
      </c>
      <c r="D11" s="2" t="s">
        <v>27</v>
      </c>
      <c r="E11" s="3" t="s">
        <v>28</v>
      </c>
    </row>
    <row r="12" spans="1:8" ht="27.75" customHeight="1" x14ac:dyDescent="0.3">
      <c r="A12" s="2" t="s">
        <v>29</v>
      </c>
      <c r="B12" s="3" t="s">
        <v>30</v>
      </c>
    </row>
    <row r="13" spans="1:8" ht="14.25" customHeight="1" x14ac:dyDescent="0.3">
      <c r="D13" s="14" t="s">
        <v>31</v>
      </c>
      <c r="E13" s="14"/>
      <c r="F13" s="14"/>
      <c r="G13" s="14"/>
      <c r="H13" s="14"/>
    </row>
    <row r="14" spans="1:8" ht="27.75" customHeight="1" x14ac:dyDescent="0.3">
      <c r="D14" s="2" t="s">
        <v>32</v>
      </c>
      <c r="E14" s="3" t="s">
        <v>33</v>
      </c>
    </row>
    <row r="15" spans="1:8" ht="14.25" customHeight="1" x14ac:dyDescent="0.3">
      <c r="D15" s="2" t="s">
        <v>34</v>
      </c>
      <c r="E15" s="3" t="s">
        <v>35</v>
      </c>
    </row>
    <row r="16" spans="1:8" ht="14.25" customHeight="1" x14ac:dyDescent="0.3">
      <c r="D16" s="2" t="s">
        <v>36</v>
      </c>
      <c r="E16" s="3" t="s">
        <v>37</v>
      </c>
    </row>
    <row r="17" spans="4:5" ht="14.25" customHeight="1" x14ac:dyDescent="0.3">
      <c r="D17" s="2" t="s">
        <v>38</v>
      </c>
      <c r="E17" s="3" t="s">
        <v>39</v>
      </c>
    </row>
  </sheetData>
  <mergeCells count="4">
    <mergeCell ref="A1:H1"/>
    <mergeCell ref="A3:H3"/>
    <mergeCell ref="D5:H5"/>
    <mergeCell ref="D13:H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zoomScale="105" zoomScaleNormal="100" workbookViewId="0">
      <selection activeCell="G19" sqref="G19"/>
    </sheetView>
  </sheetViews>
  <sheetFormatPr defaultColWidth="8.77734375" defaultRowHeight="14.4" x14ac:dyDescent="0.3"/>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19.5" customHeight="1" x14ac:dyDescent="0.3">
      <c r="A1" s="12" t="s">
        <v>40</v>
      </c>
      <c r="B1" s="12"/>
      <c r="C1" s="12"/>
      <c r="D1" s="12"/>
      <c r="E1" s="12"/>
      <c r="F1" s="12"/>
      <c r="G1" s="12"/>
      <c r="H1" s="12"/>
      <c r="I1" s="12"/>
      <c r="J1" s="12"/>
      <c r="K1" s="12"/>
      <c r="L1" s="12"/>
    </row>
    <row r="3" spans="1:12" ht="14.25" customHeight="1" x14ac:dyDescent="0.3">
      <c r="A3" s="1" t="s">
        <v>41</v>
      </c>
      <c r="B3" s="1" t="s">
        <v>42</v>
      </c>
      <c r="F3" s="1" t="s">
        <v>43</v>
      </c>
      <c r="G3" s="1" t="s">
        <v>44</v>
      </c>
    </row>
    <row r="4" spans="1:12" ht="18" customHeight="1" x14ac:dyDescent="0.3">
      <c r="A4" s="2" t="s">
        <v>45</v>
      </c>
      <c r="B4" s="4" t="s">
        <v>46</v>
      </c>
      <c r="F4" s="2" t="s">
        <v>47</v>
      </c>
      <c r="G4" s="5">
        <f>COUNTIF('Task Progress'!H2:H101,"Completed")</f>
        <v>30</v>
      </c>
    </row>
    <row r="5" spans="1:12" ht="18" customHeight="1" x14ac:dyDescent="0.3">
      <c r="A5" s="2" t="s">
        <v>48</v>
      </c>
      <c r="B5" s="4" t="s">
        <v>49</v>
      </c>
      <c r="F5" s="2" t="s">
        <v>50</v>
      </c>
      <c r="G5" s="5">
        <v>0</v>
      </c>
    </row>
    <row r="6" spans="1:12" ht="18" customHeight="1" x14ac:dyDescent="0.3">
      <c r="A6" s="2" t="s">
        <v>51</v>
      </c>
      <c r="B6" s="4" t="s">
        <v>52</v>
      </c>
      <c r="F6" s="2" t="s">
        <v>53</v>
      </c>
      <c r="G6" s="5">
        <f>COUNTIF('Task Progress'!H2:H101,"Not Started")</f>
        <v>0</v>
      </c>
    </row>
    <row r="7" spans="1:12" ht="18" customHeight="1" x14ac:dyDescent="0.3">
      <c r="A7" s="2" t="s">
        <v>54</v>
      </c>
      <c r="B7" s="4"/>
      <c r="F7" s="2" t="s">
        <v>55</v>
      </c>
      <c r="G7" s="5">
        <f>COUNTIF('Task Progress'!H2:H101,"Delayed")</f>
        <v>0</v>
      </c>
    </row>
    <row r="8" spans="1:12" ht="18" customHeight="1" x14ac:dyDescent="0.3">
      <c r="A8" s="2" t="s">
        <v>56</v>
      </c>
      <c r="B8" s="4" t="s">
        <v>38</v>
      </c>
      <c r="F8" s="2" t="s">
        <v>57</v>
      </c>
      <c r="G8" s="5">
        <f>COUNTIF('Task Progress'!H2:H101,"Blocked")</f>
        <v>0</v>
      </c>
    </row>
    <row r="9" spans="1:12" ht="18" customHeight="1" x14ac:dyDescent="0.3">
      <c r="A9" s="2" t="s">
        <v>58</v>
      </c>
      <c r="B9" s="4"/>
      <c r="F9" s="2" t="s">
        <v>59</v>
      </c>
      <c r="G9" s="5">
        <f ca="1">COUNTIF('Task Progress'!M2:M101,"Overdue")</f>
        <v>0</v>
      </c>
    </row>
    <row r="10" spans="1:12" ht="18" customHeight="1" x14ac:dyDescent="0.3">
      <c r="A10" s="2" t="s">
        <v>60</v>
      </c>
      <c r="B10" s="4" t="s">
        <v>47</v>
      </c>
    </row>
    <row r="11" spans="1:12" ht="18" customHeight="1" x14ac:dyDescent="0.3">
      <c r="A11" s="2" t="s">
        <v>61</v>
      </c>
      <c r="B11" s="6">
        <v>1</v>
      </c>
      <c r="F11" s="1" t="s">
        <v>62</v>
      </c>
      <c r="G11" s="1" t="s">
        <v>44</v>
      </c>
    </row>
    <row r="12" spans="1:12" ht="31.5" customHeight="1" x14ac:dyDescent="0.3">
      <c r="A12" s="2" t="s">
        <v>63</v>
      </c>
      <c r="B12" s="4" t="s">
        <v>266</v>
      </c>
      <c r="F12" s="2" t="s">
        <v>64</v>
      </c>
      <c r="G12" s="5">
        <f>COUNTIF('Individual Contributions'!E3:E201,"?*")</f>
        <v>12</v>
      </c>
    </row>
    <row r="13" spans="1:12" ht="31.5" customHeight="1" x14ac:dyDescent="0.3">
      <c r="A13" s="2" t="s">
        <v>65</v>
      </c>
      <c r="B13" s="4" t="s">
        <v>267</v>
      </c>
      <c r="F13" s="2" t="s">
        <v>66</v>
      </c>
      <c r="G13" s="5">
        <f>COUNTIFS('Individual Contributions'!E3:E201,"?*",'Individual Contributions'!J3:J201,"Yes")</f>
        <v>12</v>
      </c>
    </row>
    <row r="14" spans="1:12" ht="31.5" customHeight="1" x14ac:dyDescent="0.3">
      <c r="A14" s="2" t="s">
        <v>67</v>
      </c>
      <c r="B14" s="4" t="s">
        <v>268</v>
      </c>
      <c r="F14" s="2" t="s">
        <v>68</v>
      </c>
      <c r="G14" s="5">
        <f>COUNTIFS('Individual Contributions'!E3:E201,"?*",'Individual Contributions'!J3:J201,"No")</f>
        <v>0</v>
      </c>
    </row>
    <row r="15" spans="1:12" ht="14.25" customHeight="1" x14ac:dyDescent="0.3">
      <c r="F15" s="2" t="s">
        <v>69</v>
      </c>
      <c r="G15" s="5">
        <v>2</v>
      </c>
    </row>
  </sheetData>
  <mergeCells count="1">
    <mergeCell ref="A1:L1"/>
  </mergeCells>
  <dataValidations count="2">
    <dataValidation type="list" sqref="B8" xr:uid="{00000000-0002-0000-0100-000000000000}">
      <formula1>"Unit 1 / Phase 1,Phase 2,Phase 3,Final"</formula1>
      <formula2>0</formula2>
    </dataValidation>
    <dataValidation type="list" sqref="B10" xr:uid="{00000000-0002-0000-0100-000001000000}">
      <formula1>"Not Started,In Progress,Completed,Delayed,Blocked"</formula1>
      <formula2>0</formula2>
    </dataValidation>
  </dataValidation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A28" zoomScale="106" zoomScaleNormal="100" workbookViewId="0">
      <selection activeCell="I13" sqref="I13"/>
    </sheetView>
  </sheetViews>
  <sheetFormatPr defaultColWidth="8.77734375" defaultRowHeight="14.4" x14ac:dyDescent="0.3"/>
  <cols>
    <col min="1" max="1" width="12" customWidth="1"/>
    <col min="2" max="2" width="19" customWidth="1"/>
    <col min="3" max="3" width="14.88671875" customWidth="1"/>
    <col min="4" max="4" width="37.88671875" customWidth="1"/>
    <col min="5" max="5" width="24" customWidth="1"/>
    <col min="6" max="7" width="12" customWidth="1"/>
    <col min="8" max="8" width="14.88671875" customWidth="1"/>
    <col min="9" max="9" width="12" customWidth="1"/>
    <col min="10" max="10" width="34" customWidth="1"/>
    <col min="11" max="11" width="16" customWidth="1"/>
    <col min="12" max="12" width="32" customWidth="1"/>
    <col min="13" max="13" width="14" customWidth="1"/>
  </cols>
  <sheetData>
    <row r="1" spans="1:13" ht="19.5" customHeight="1" x14ac:dyDescent="0.3">
      <c r="A1" s="12" t="s">
        <v>70</v>
      </c>
      <c r="B1" s="12"/>
      <c r="C1" s="12"/>
      <c r="D1" s="12"/>
      <c r="E1" s="12"/>
      <c r="F1" s="12"/>
      <c r="G1" s="12"/>
      <c r="H1" s="12"/>
      <c r="I1" s="12"/>
      <c r="J1" s="12"/>
      <c r="K1" s="12"/>
      <c r="L1" s="12"/>
      <c r="M1" s="12"/>
    </row>
    <row r="2" spans="1:13" ht="14.25" customHeight="1" x14ac:dyDescent="0.3">
      <c r="A2" s="1" t="s">
        <v>71</v>
      </c>
      <c r="B2" s="1" t="s">
        <v>72</v>
      </c>
      <c r="C2" s="1" t="s">
        <v>73</v>
      </c>
      <c r="D2" s="1" t="s">
        <v>74</v>
      </c>
      <c r="E2" s="1" t="s">
        <v>75</v>
      </c>
      <c r="F2" s="1" t="s">
        <v>76</v>
      </c>
      <c r="G2" s="1" t="s">
        <v>77</v>
      </c>
      <c r="H2" s="1" t="s">
        <v>78</v>
      </c>
      <c r="I2" s="1" t="s">
        <v>79</v>
      </c>
      <c r="J2" s="1" t="s">
        <v>80</v>
      </c>
      <c r="K2" s="1" t="s">
        <v>81</v>
      </c>
      <c r="L2" s="1" t="s">
        <v>82</v>
      </c>
      <c r="M2" s="1" t="s">
        <v>83</v>
      </c>
    </row>
    <row r="3" spans="1:13" ht="28.5" customHeight="1" x14ac:dyDescent="0.3">
      <c r="A3" s="7" t="s">
        <v>84</v>
      </c>
      <c r="B3" s="7" t="s">
        <v>32</v>
      </c>
      <c r="C3" s="7" t="s">
        <v>85</v>
      </c>
      <c r="D3" s="7" t="s">
        <v>86</v>
      </c>
      <c r="E3" s="7" t="s">
        <v>87</v>
      </c>
      <c r="F3" s="8"/>
      <c r="G3" s="8"/>
      <c r="H3" s="7" t="s">
        <v>47</v>
      </c>
      <c r="I3" s="9">
        <v>100</v>
      </c>
      <c r="J3" s="7" t="s">
        <v>88</v>
      </c>
      <c r="K3" s="7" t="s">
        <v>89</v>
      </c>
      <c r="L3" s="7"/>
      <c r="M3" s="7" t="str">
        <f t="shared" ref="M3:M34" ca="1" si="0">IF(D3="","",IF(H3="Completed","Completed",IF(H3="Blocked","Blocked",IF(H3="Delayed","Delayed",IF(AND(G3&lt;&gt;"",G3&lt;TODAY(),H3&lt;&gt;"Completed"),"Overdue","On Track")))))</f>
        <v>Completed</v>
      </c>
    </row>
    <row r="4" spans="1:13" ht="42.75" customHeight="1" x14ac:dyDescent="0.3">
      <c r="A4" s="7" t="s">
        <v>90</v>
      </c>
      <c r="B4" s="7" t="s">
        <v>32</v>
      </c>
      <c r="C4" s="7" t="s">
        <v>85</v>
      </c>
      <c r="D4" s="7" t="s">
        <v>91</v>
      </c>
      <c r="E4" s="7" t="s">
        <v>87</v>
      </c>
      <c r="F4" s="8"/>
      <c r="G4" s="8"/>
      <c r="H4" s="7" t="s">
        <v>47</v>
      </c>
      <c r="I4" s="9">
        <v>100</v>
      </c>
      <c r="J4" s="7" t="s">
        <v>92</v>
      </c>
      <c r="K4" s="7" t="s">
        <v>89</v>
      </c>
      <c r="L4" s="7"/>
      <c r="M4" s="7" t="str">
        <f t="shared" ca="1" si="0"/>
        <v>Completed</v>
      </c>
    </row>
    <row r="5" spans="1:13" ht="28.5" customHeight="1" x14ac:dyDescent="0.3">
      <c r="A5" s="7" t="s">
        <v>93</v>
      </c>
      <c r="B5" s="7" t="s">
        <v>32</v>
      </c>
      <c r="C5" s="7" t="s">
        <v>85</v>
      </c>
      <c r="D5" s="7" t="s">
        <v>94</v>
      </c>
      <c r="E5" s="7" t="s">
        <v>87</v>
      </c>
      <c r="F5" s="8"/>
      <c r="G5" s="8"/>
      <c r="H5" s="7" t="s">
        <v>47</v>
      </c>
      <c r="I5" s="9">
        <v>100</v>
      </c>
      <c r="J5" s="7" t="s">
        <v>95</v>
      </c>
      <c r="K5" s="7" t="s">
        <v>89</v>
      </c>
      <c r="L5" s="7"/>
      <c r="M5" s="7" t="str">
        <f t="shared" ca="1" si="0"/>
        <v>Completed</v>
      </c>
    </row>
    <row r="6" spans="1:13" ht="28.5" customHeight="1" x14ac:dyDescent="0.3">
      <c r="A6" s="7" t="s">
        <v>96</v>
      </c>
      <c r="B6" s="7" t="s">
        <v>32</v>
      </c>
      <c r="C6" s="7" t="s">
        <v>97</v>
      </c>
      <c r="D6" s="7" t="s">
        <v>98</v>
      </c>
      <c r="E6" s="7" t="s">
        <v>87</v>
      </c>
      <c r="F6" s="8"/>
      <c r="G6" s="8"/>
      <c r="H6" s="7" t="s">
        <v>47</v>
      </c>
      <c r="I6" s="9">
        <v>100</v>
      </c>
      <c r="J6" s="7" t="s">
        <v>99</v>
      </c>
      <c r="K6" s="7" t="s">
        <v>89</v>
      </c>
      <c r="L6" s="7"/>
      <c r="M6" s="7" t="str">
        <f t="shared" ca="1" si="0"/>
        <v>Completed</v>
      </c>
    </row>
    <row r="7" spans="1:13" ht="27.75" customHeight="1" x14ac:dyDescent="0.3">
      <c r="A7" s="7" t="s">
        <v>100</v>
      </c>
      <c r="B7" s="7" t="s">
        <v>32</v>
      </c>
      <c r="C7" s="7" t="s">
        <v>97</v>
      </c>
      <c r="D7" s="7" t="s">
        <v>101</v>
      </c>
      <c r="E7" s="7" t="s">
        <v>87</v>
      </c>
      <c r="F7" s="8"/>
      <c r="G7" s="8"/>
      <c r="H7" s="7" t="s">
        <v>47</v>
      </c>
      <c r="I7" s="9">
        <v>100</v>
      </c>
      <c r="J7" s="7" t="s">
        <v>102</v>
      </c>
      <c r="K7" s="7" t="s">
        <v>89</v>
      </c>
      <c r="L7" s="7"/>
      <c r="M7" s="7" t="str">
        <f t="shared" ca="1" si="0"/>
        <v>Completed</v>
      </c>
    </row>
    <row r="8" spans="1:13" ht="28.5" customHeight="1" x14ac:dyDescent="0.3">
      <c r="A8" s="7" t="s">
        <v>103</v>
      </c>
      <c r="B8" s="7" t="s">
        <v>32</v>
      </c>
      <c r="C8" s="7" t="s">
        <v>104</v>
      </c>
      <c r="D8" s="7" t="s">
        <v>105</v>
      </c>
      <c r="E8" s="7" t="s">
        <v>87</v>
      </c>
      <c r="F8" s="8"/>
      <c r="G8" s="8"/>
      <c r="H8" s="7" t="s">
        <v>47</v>
      </c>
      <c r="I8" s="9">
        <v>100</v>
      </c>
      <c r="J8" s="7" t="s">
        <v>106</v>
      </c>
      <c r="K8" s="7" t="s">
        <v>89</v>
      </c>
      <c r="L8" s="7"/>
      <c r="M8" s="7" t="str">
        <f t="shared" ca="1" si="0"/>
        <v>Completed</v>
      </c>
    </row>
    <row r="9" spans="1:13" ht="14.25" customHeight="1" x14ac:dyDescent="0.3">
      <c r="A9" s="7" t="s">
        <v>107</v>
      </c>
      <c r="B9" s="7" t="s">
        <v>32</v>
      </c>
      <c r="C9" s="7" t="s">
        <v>104</v>
      </c>
      <c r="D9" s="7" t="s">
        <v>108</v>
      </c>
      <c r="E9" s="7" t="s">
        <v>87</v>
      </c>
      <c r="F9" s="8"/>
      <c r="G9" s="8"/>
      <c r="H9" s="7" t="s">
        <v>47</v>
      </c>
      <c r="I9" s="9">
        <v>100</v>
      </c>
      <c r="J9" s="7" t="s">
        <v>226</v>
      </c>
      <c r="K9" s="7" t="s">
        <v>89</v>
      </c>
      <c r="L9" s="7"/>
      <c r="M9" s="7" t="str">
        <f t="shared" ca="1" si="0"/>
        <v>Completed</v>
      </c>
    </row>
    <row r="10" spans="1:13" ht="14.25" customHeight="1" x14ac:dyDescent="0.3">
      <c r="A10" s="7" t="s">
        <v>109</v>
      </c>
      <c r="B10" s="7" t="s">
        <v>32</v>
      </c>
      <c r="C10" s="7" t="s">
        <v>104</v>
      </c>
      <c r="D10" s="7" t="s">
        <v>110</v>
      </c>
      <c r="E10" s="7" t="s">
        <v>87</v>
      </c>
      <c r="F10" s="8"/>
      <c r="G10" s="8"/>
      <c r="H10" s="7" t="s">
        <v>47</v>
      </c>
      <c r="I10" s="9">
        <v>100</v>
      </c>
      <c r="J10" s="7"/>
      <c r="K10" s="7" t="s">
        <v>89</v>
      </c>
      <c r="L10" s="7"/>
      <c r="M10" s="7" t="str">
        <f t="shared" ca="1" si="0"/>
        <v>Completed</v>
      </c>
    </row>
    <row r="11" spans="1:13" ht="14.25" customHeight="1" x14ac:dyDescent="0.3">
      <c r="A11" s="7" t="s">
        <v>111</v>
      </c>
      <c r="B11" s="7" t="s">
        <v>32</v>
      </c>
      <c r="C11" s="7" t="s">
        <v>104</v>
      </c>
      <c r="D11" s="7" t="s">
        <v>112</v>
      </c>
      <c r="E11" s="7" t="s">
        <v>87</v>
      </c>
      <c r="F11" s="8"/>
      <c r="G11" s="8"/>
      <c r="H11" s="7" t="s">
        <v>47</v>
      </c>
      <c r="I11" s="9">
        <v>100</v>
      </c>
      <c r="J11" s="7"/>
      <c r="K11" s="7" t="s">
        <v>89</v>
      </c>
      <c r="L11" s="7"/>
      <c r="M11" s="7" t="str">
        <f t="shared" ca="1" si="0"/>
        <v>Completed</v>
      </c>
    </row>
    <row r="12" spans="1:13" ht="27.75" customHeight="1" x14ac:dyDescent="0.3">
      <c r="A12" s="7" t="s">
        <v>113</v>
      </c>
      <c r="B12" s="7" t="s">
        <v>32</v>
      </c>
      <c r="C12" s="7" t="s">
        <v>104</v>
      </c>
      <c r="D12" s="7" t="s">
        <v>114</v>
      </c>
      <c r="E12" s="7" t="s">
        <v>87</v>
      </c>
      <c r="F12" s="8"/>
      <c r="G12" s="8"/>
      <c r="H12" s="7" t="s">
        <v>47</v>
      </c>
      <c r="I12" s="9">
        <v>100</v>
      </c>
      <c r="J12" s="7" t="s">
        <v>115</v>
      </c>
      <c r="K12" s="7" t="s">
        <v>89</v>
      </c>
      <c r="L12" s="7"/>
      <c r="M12" s="7" t="str">
        <f t="shared" ca="1" si="0"/>
        <v>Completed</v>
      </c>
    </row>
    <row r="13" spans="1:13" ht="14.25" customHeight="1" x14ac:dyDescent="0.3">
      <c r="A13" s="7" t="s">
        <v>116</v>
      </c>
      <c r="B13" s="7" t="s">
        <v>32</v>
      </c>
      <c r="C13" s="7" t="s">
        <v>104</v>
      </c>
      <c r="D13" s="7" t="s">
        <v>117</v>
      </c>
      <c r="E13" s="7" t="s">
        <v>87</v>
      </c>
      <c r="F13" s="8"/>
      <c r="G13" s="8"/>
      <c r="H13" s="7" t="s">
        <v>47</v>
      </c>
      <c r="I13" s="9">
        <v>100</v>
      </c>
      <c r="J13" s="7"/>
      <c r="K13" s="7" t="s">
        <v>89</v>
      </c>
      <c r="L13" s="7"/>
      <c r="M13" s="7" t="str">
        <f t="shared" ca="1" si="0"/>
        <v>Completed</v>
      </c>
    </row>
    <row r="14" spans="1:13" ht="81.75" customHeight="1" x14ac:dyDescent="0.3">
      <c r="A14" s="7" t="s">
        <v>118</v>
      </c>
      <c r="B14" s="7" t="s">
        <v>32</v>
      </c>
      <c r="C14" s="7" t="s">
        <v>119</v>
      </c>
      <c r="D14" s="7" t="s">
        <v>120</v>
      </c>
      <c r="E14" s="7" t="s">
        <v>87</v>
      </c>
      <c r="F14" s="8"/>
      <c r="G14" s="8"/>
      <c r="H14" s="7" t="s">
        <v>50</v>
      </c>
      <c r="I14" s="9">
        <v>100</v>
      </c>
      <c r="J14" s="7" t="s">
        <v>121</v>
      </c>
      <c r="K14" s="7" t="s">
        <v>89</v>
      </c>
      <c r="L14" s="7"/>
      <c r="M14" s="7" t="str">
        <f t="shared" ca="1" si="0"/>
        <v>On Track</v>
      </c>
    </row>
    <row r="15" spans="1:13" ht="122.25" customHeight="1" x14ac:dyDescent="0.3">
      <c r="A15" s="7" t="s">
        <v>122</v>
      </c>
      <c r="B15" s="7" t="s">
        <v>32</v>
      </c>
      <c r="C15" s="7" t="s">
        <v>123</v>
      </c>
      <c r="D15" s="7" t="s">
        <v>124</v>
      </c>
      <c r="E15" s="7" t="s">
        <v>87</v>
      </c>
      <c r="F15" s="8"/>
      <c r="G15" s="8"/>
      <c r="H15" s="7" t="s">
        <v>47</v>
      </c>
      <c r="I15" s="9">
        <v>100</v>
      </c>
      <c r="J15" s="7" t="s">
        <v>125</v>
      </c>
      <c r="K15" s="7" t="s">
        <v>89</v>
      </c>
      <c r="L15" s="7"/>
      <c r="M15" s="7" t="str">
        <f t="shared" ca="1" si="0"/>
        <v>Completed</v>
      </c>
    </row>
    <row r="16" spans="1:13" ht="54.75" customHeight="1" x14ac:dyDescent="0.3">
      <c r="A16" s="7" t="s">
        <v>126</v>
      </c>
      <c r="B16" s="7" t="s">
        <v>32</v>
      </c>
      <c r="C16" s="7" t="s">
        <v>127</v>
      </c>
      <c r="D16" s="7" t="s">
        <v>128</v>
      </c>
      <c r="E16" s="7" t="s">
        <v>87</v>
      </c>
      <c r="F16" s="8"/>
      <c r="G16" s="8"/>
      <c r="H16" s="7" t="s">
        <v>47</v>
      </c>
      <c r="I16" s="9">
        <v>100</v>
      </c>
      <c r="J16" s="7"/>
      <c r="K16" s="7" t="s">
        <v>89</v>
      </c>
      <c r="L16" s="7"/>
      <c r="M16" s="7" t="str">
        <f t="shared" ca="1" si="0"/>
        <v>Completed</v>
      </c>
    </row>
    <row r="17" spans="1:13" ht="54.75" customHeight="1" x14ac:dyDescent="0.3">
      <c r="A17" s="7" t="s">
        <v>129</v>
      </c>
      <c r="B17" s="7" t="s">
        <v>34</v>
      </c>
      <c r="C17" s="7" t="s">
        <v>130</v>
      </c>
      <c r="D17" s="7" t="s">
        <v>131</v>
      </c>
      <c r="E17" s="7" t="s">
        <v>87</v>
      </c>
      <c r="F17" s="8"/>
      <c r="G17" s="8"/>
      <c r="H17" s="7" t="s">
        <v>47</v>
      </c>
      <c r="I17" s="9">
        <v>100</v>
      </c>
      <c r="J17" s="7" t="s">
        <v>132</v>
      </c>
      <c r="K17" s="7" t="s">
        <v>89</v>
      </c>
      <c r="L17" s="7"/>
      <c r="M17" s="7" t="str">
        <f t="shared" ca="1" si="0"/>
        <v>Completed</v>
      </c>
    </row>
    <row r="18" spans="1:13" ht="54.75" customHeight="1" x14ac:dyDescent="0.3">
      <c r="A18" s="7" t="s">
        <v>133</v>
      </c>
      <c r="B18" s="7" t="s">
        <v>34</v>
      </c>
      <c r="C18" s="7" t="s">
        <v>134</v>
      </c>
      <c r="D18" s="7" t="s">
        <v>135</v>
      </c>
      <c r="E18" s="7" t="s">
        <v>87</v>
      </c>
      <c r="F18" s="8"/>
      <c r="G18" s="8"/>
      <c r="H18" s="7" t="s">
        <v>47</v>
      </c>
      <c r="I18" s="9">
        <v>100</v>
      </c>
      <c r="J18" s="7" t="s">
        <v>136</v>
      </c>
      <c r="K18" s="7" t="s">
        <v>89</v>
      </c>
      <c r="L18" s="7"/>
      <c r="M18" s="7" t="str">
        <f t="shared" ca="1" si="0"/>
        <v>Completed</v>
      </c>
    </row>
    <row r="19" spans="1:13" ht="54.75" customHeight="1" x14ac:dyDescent="0.3">
      <c r="A19" s="7" t="s">
        <v>137</v>
      </c>
      <c r="B19" s="7" t="s">
        <v>34</v>
      </c>
      <c r="C19" s="7" t="s">
        <v>138</v>
      </c>
      <c r="D19" s="7" t="s">
        <v>139</v>
      </c>
      <c r="E19" s="7" t="s">
        <v>87</v>
      </c>
      <c r="F19" s="8"/>
      <c r="G19" s="8"/>
      <c r="H19" s="7" t="s">
        <v>47</v>
      </c>
      <c r="I19" s="9">
        <v>100</v>
      </c>
      <c r="J19" s="11" t="s">
        <v>257</v>
      </c>
      <c r="K19" s="7" t="s">
        <v>89</v>
      </c>
      <c r="L19" s="7"/>
      <c r="M19" s="7" t="str">
        <f t="shared" ca="1" si="0"/>
        <v>Completed</v>
      </c>
    </row>
    <row r="20" spans="1:13" ht="75" customHeight="1" x14ac:dyDescent="0.3">
      <c r="A20" s="7" t="s">
        <v>269</v>
      </c>
      <c r="B20" s="7" t="s">
        <v>36</v>
      </c>
      <c r="C20" s="7" t="s">
        <v>270</v>
      </c>
      <c r="D20" s="7" t="s">
        <v>271</v>
      </c>
      <c r="E20" s="7" t="s">
        <v>87</v>
      </c>
      <c r="F20" s="8"/>
      <c r="G20" s="8"/>
      <c r="H20" s="7" t="s">
        <v>47</v>
      </c>
      <c r="I20" s="9">
        <v>100</v>
      </c>
      <c r="J20" s="11" t="s">
        <v>272</v>
      </c>
      <c r="K20" s="7"/>
      <c r="L20" s="7"/>
      <c r="M20" s="7" t="str">
        <f t="shared" ca="1" si="0"/>
        <v>Completed</v>
      </c>
    </row>
    <row r="21" spans="1:13" ht="75" customHeight="1" x14ac:dyDescent="0.3">
      <c r="A21" s="7" t="s">
        <v>273</v>
      </c>
      <c r="B21" s="7" t="s">
        <v>36</v>
      </c>
      <c r="C21" s="7" t="s">
        <v>270</v>
      </c>
      <c r="D21" s="7" t="s">
        <v>274</v>
      </c>
      <c r="E21" s="7" t="s">
        <v>87</v>
      </c>
      <c r="F21" s="8"/>
      <c r="G21" s="8"/>
      <c r="H21" s="7" t="s">
        <v>47</v>
      </c>
      <c r="I21" s="9">
        <v>100</v>
      </c>
      <c r="J21" s="11" t="s">
        <v>275</v>
      </c>
      <c r="K21" s="7"/>
      <c r="L21" s="7"/>
      <c r="M21" s="7" t="str">
        <f t="shared" ca="1" si="0"/>
        <v>Completed</v>
      </c>
    </row>
    <row r="22" spans="1:13" ht="75" customHeight="1" x14ac:dyDescent="0.3">
      <c r="A22" s="7" t="s">
        <v>276</v>
      </c>
      <c r="B22" s="7" t="s">
        <v>36</v>
      </c>
      <c r="C22" s="7" t="s">
        <v>277</v>
      </c>
      <c r="D22" s="7" t="s">
        <v>278</v>
      </c>
      <c r="E22" s="7" t="s">
        <v>87</v>
      </c>
      <c r="F22" s="8"/>
      <c r="G22" s="8"/>
      <c r="H22" s="7" t="s">
        <v>47</v>
      </c>
      <c r="I22" s="9">
        <v>100</v>
      </c>
      <c r="J22" s="11" t="s">
        <v>279</v>
      </c>
      <c r="K22" s="7"/>
      <c r="L22" s="7"/>
      <c r="M22" s="7" t="str">
        <f t="shared" ca="1" si="0"/>
        <v>Completed</v>
      </c>
    </row>
    <row r="23" spans="1:13" ht="75" customHeight="1" x14ac:dyDescent="0.3">
      <c r="A23" s="7" t="s">
        <v>280</v>
      </c>
      <c r="B23" s="7" t="s">
        <v>36</v>
      </c>
      <c r="C23" s="7" t="s">
        <v>277</v>
      </c>
      <c r="D23" s="7" t="s">
        <v>281</v>
      </c>
      <c r="E23" s="7" t="s">
        <v>87</v>
      </c>
      <c r="F23" s="8"/>
      <c r="G23" s="8"/>
      <c r="H23" s="7" t="s">
        <v>47</v>
      </c>
      <c r="I23" s="9">
        <v>100</v>
      </c>
      <c r="J23" s="11" t="s">
        <v>282</v>
      </c>
      <c r="K23" s="7"/>
      <c r="L23" s="7"/>
      <c r="M23" s="7" t="str">
        <f t="shared" ca="1" si="0"/>
        <v>Completed</v>
      </c>
    </row>
    <row r="24" spans="1:13" ht="75" customHeight="1" x14ac:dyDescent="0.3">
      <c r="A24" s="7" t="s">
        <v>283</v>
      </c>
      <c r="B24" s="7" t="s">
        <v>36</v>
      </c>
      <c r="C24" s="7" t="s">
        <v>284</v>
      </c>
      <c r="D24" s="7" t="s">
        <v>285</v>
      </c>
      <c r="E24" s="7" t="s">
        <v>87</v>
      </c>
      <c r="F24" s="8"/>
      <c r="G24" s="8"/>
      <c r="H24" s="7" t="s">
        <v>47</v>
      </c>
      <c r="I24" s="9">
        <v>100</v>
      </c>
      <c r="J24" s="11" t="s">
        <v>286</v>
      </c>
      <c r="K24" s="7"/>
      <c r="L24" s="7"/>
      <c r="M24" s="7" t="str">
        <f t="shared" ca="1" si="0"/>
        <v>Completed</v>
      </c>
    </row>
    <row r="25" spans="1:13" ht="75" customHeight="1" x14ac:dyDescent="0.3">
      <c r="A25" s="7" t="s">
        <v>287</v>
      </c>
      <c r="B25" s="7" t="s">
        <v>36</v>
      </c>
      <c r="C25" s="7" t="s">
        <v>284</v>
      </c>
      <c r="D25" s="7" t="s">
        <v>288</v>
      </c>
      <c r="E25" s="7" t="s">
        <v>87</v>
      </c>
      <c r="F25" s="8"/>
      <c r="G25" s="8"/>
      <c r="H25" s="7" t="s">
        <v>47</v>
      </c>
      <c r="I25" s="9">
        <v>100</v>
      </c>
      <c r="J25" s="11" t="s">
        <v>289</v>
      </c>
      <c r="K25" s="7"/>
      <c r="L25" s="7"/>
      <c r="M25" s="7" t="str">
        <f t="shared" ca="1" si="0"/>
        <v>Completed</v>
      </c>
    </row>
    <row r="26" spans="1:13" ht="75" customHeight="1" x14ac:dyDescent="0.3">
      <c r="A26" s="7" t="s">
        <v>290</v>
      </c>
      <c r="B26" s="7" t="s">
        <v>36</v>
      </c>
      <c r="C26" s="7" t="s">
        <v>291</v>
      </c>
      <c r="D26" s="7" t="s">
        <v>292</v>
      </c>
      <c r="E26" s="7" t="s">
        <v>87</v>
      </c>
      <c r="F26" s="8"/>
      <c r="G26" s="8"/>
      <c r="H26" s="7" t="s">
        <v>47</v>
      </c>
      <c r="I26" s="9">
        <v>100</v>
      </c>
      <c r="J26" s="11" t="s">
        <v>293</v>
      </c>
      <c r="K26" s="7"/>
      <c r="L26" s="7"/>
      <c r="M26" s="7" t="str">
        <f t="shared" ca="1" si="0"/>
        <v>Completed</v>
      </c>
    </row>
    <row r="27" spans="1:13" ht="75" customHeight="1" x14ac:dyDescent="0.3">
      <c r="A27" s="7" t="s">
        <v>294</v>
      </c>
      <c r="B27" s="7" t="s">
        <v>36</v>
      </c>
      <c r="C27" s="7" t="s">
        <v>291</v>
      </c>
      <c r="D27" s="7" t="s">
        <v>295</v>
      </c>
      <c r="E27" s="7" t="s">
        <v>87</v>
      </c>
      <c r="F27" s="8"/>
      <c r="G27" s="8"/>
      <c r="H27" s="7" t="s">
        <v>47</v>
      </c>
      <c r="I27" s="9">
        <v>100</v>
      </c>
      <c r="J27" s="11" t="s">
        <v>296</v>
      </c>
      <c r="K27" s="7"/>
      <c r="L27" s="7"/>
      <c r="M27" s="7" t="str">
        <f t="shared" ca="1" si="0"/>
        <v>Completed</v>
      </c>
    </row>
    <row r="28" spans="1:13" ht="75" customHeight="1" x14ac:dyDescent="0.3">
      <c r="A28" s="7" t="s">
        <v>297</v>
      </c>
      <c r="B28" s="7" t="s">
        <v>36</v>
      </c>
      <c r="C28" s="7" t="s">
        <v>298</v>
      </c>
      <c r="D28" s="7" t="s">
        <v>299</v>
      </c>
      <c r="E28" s="7" t="s">
        <v>87</v>
      </c>
      <c r="F28" s="8"/>
      <c r="G28" s="8"/>
      <c r="H28" s="7" t="s">
        <v>47</v>
      </c>
      <c r="I28" s="9">
        <v>100</v>
      </c>
      <c r="J28" s="11" t="s">
        <v>300</v>
      </c>
      <c r="K28" s="7"/>
      <c r="L28" s="7"/>
      <c r="M28" s="7" t="str">
        <f t="shared" ca="1" si="0"/>
        <v>Completed</v>
      </c>
    </row>
    <row r="29" spans="1:13" ht="75" customHeight="1" x14ac:dyDescent="0.3">
      <c r="A29" s="7" t="s">
        <v>301</v>
      </c>
      <c r="B29" s="7" t="s">
        <v>36</v>
      </c>
      <c r="C29" s="7" t="s">
        <v>302</v>
      </c>
      <c r="D29" s="7" t="s">
        <v>303</v>
      </c>
      <c r="E29" s="7" t="s">
        <v>87</v>
      </c>
      <c r="F29" s="8"/>
      <c r="G29" s="8"/>
      <c r="H29" s="7" t="s">
        <v>47</v>
      </c>
      <c r="I29" s="9">
        <v>100</v>
      </c>
      <c r="J29" s="11" t="s">
        <v>304</v>
      </c>
      <c r="K29" s="7"/>
      <c r="L29" s="7"/>
      <c r="M29" s="7" t="str">
        <f t="shared" ca="1" si="0"/>
        <v>Completed</v>
      </c>
    </row>
    <row r="30" spans="1:13" ht="75" customHeight="1" x14ac:dyDescent="0.3">
      <c r="A30" s="7" t="s">
        <v>305</v>
      </c>
      <c r="B30" s="7" t="s">
        <v>36</v>
      </c>
      <c r="C30" s="7" t="s">
        <v>302</v>
      </c>
      <c r="D30" s="7" t="s">
        <v>306</v>
      </c>
      <c r="E30" s="7" t="s">
        <v>87</v>
      </c>
      <c r="F30" s="8"/>
      <c r="G30" s="8"/>
      <c r="H30" s="7" t="s">
        <v>47</v>
      </c>
      <c r="I30" s="9">
        <v>100</v>
      </c>
      <c r="J30" s="11" t="s">
        <v>307</v>
      </c>
      <c r="K30" s="7"/>
      <c r="L30" s="7"/>
      <c r="M30" s="7" t="str">
        <f t="shared" ca="1" si="0"/>
        <v>Completed</v>
      </c>
    </row>
    <row r="31" spans="1:13" ht="75" customHeight="1" x14ac:dyDescent="0.3">
      <c r="A31" s="7" t="s">
        <v>308</v>
      </c>
      <c r="B31" s="7" t="s">
        <v>36</v>
      </c>
      <c r="C31" s="7" t="s">
        <v>302</v>
      </c>
      <c r="D31" s="7" t="s">
        <v>309</v>
      </c>
      <c r="E31" s="7" t="s">
        <v>87</v>
      </c>
      <c r="F31" s="8"/>
      <c r="G31" s="8"/>
      <c r="H31" s="7" t="s">
        <v>47</v>
      </c>
      <c r="I31" s="9">
        <v>100</v>
      </c>
      <c r="J31" s="11" t="s">
        <v>310</v>
      </c>
      <c r="K31" s="7"/>
      <c r="L31" s="7"/>
      <c r="M31" s="7" t="str">
        <f t="shared" ca="1" si="0"/>
        <v>Completed</v>
      </c>
    </row>
    <row r="32" spans="1:13" ht="75" customHeight="1" x14ac:dyDescent="0.3">
      <c r="A32" s="7" t="s">
        <v>311</v>
      </c>
      <c r="B32" s="7" t="s">
        <v>36</v>
      </c>
      <c r="C32" s="7" t="s">
        <v>312</v>
      </c>
      <c r="D32" s="7" t="s">
        <v>313</v>
      </c>
      <c r="E32" s="7" t="s">
        <v>87</v>
      </c>
      <c r="F32" s="8"/>
      <c r="G32" s="8"/>
      <c r="H32" s="7" t="s">
        <v>47</v>
      </c>
      <c r="I32" s="9">
        <v>100</v>
      </c>
      <c r="J32" s="11" t="s">
        <v>314</v>
      </c>
      <c r="K32" s="7"/>
      <c r="L32" s="7"/>
      <c r="M32" s="7" t="str">
        <f t="shared" ca="1" si="0"/>
        <v>Completed</v>
      </c>
    </row>
    <row r="33" spans="1:13" ht="75" customHeight="1" x14ac:dyDescent="0.3">
      <c r="A33" s="7" t="s">
        <v>315</v>
      </c>
      <c r="B33" s="7" t="s">
        <v>36</v>
      </c>
      <c r="C33" s="7" t="s">
        <v>316</v>
      </c>
      <c r="D33" s="7" t="s">
        <v>317</v>
      </c>
      <c r="E33" s="7" t="s">
        <v>87</v>
      </c>
      <c r="F33" s="8"/>
      <c r="G33" s="8"/>
      <c r="H33" s="7" t="s">
        <v>47</v>
      </c>
      <c r="I33" s="9">
        <v>100</v>
      </c>
      <c r="J33" s="11"/>
      <c r="K33" s="7"/>
      <c r="L33" s="7"/>
      <c r="M33" s="7" t="str">
        <f t="shared" ca="1" si="0"/>
        <v>Completed</v>
      </c>
    </row>
    <row r="34" spans="1:13" ht="14.25" customHeight="1" x14ac:dyDescent="0.3">
      <c r="A34" s="7"/>
      <c r="B34" s="7"/>
      <c r="C34" s="7"/>
      <c r="D34" s="7"/>
      <c r="E34" s="7"/>
      <c r="F34" s="8"/>
      <c r="G34" s="8"/>
      <c r="H34" s="7"/>
      <c r="I34" s="9"/>
      <c r="J34" s="7"/>
      <c r="K34" s="7"/>
      <c r="L34" s="7"/>
      <c r="M34" s="7" t="str">
        <f t="shared" ca="1" si="0"/>
        <v/>
      </c>
    </row>
    <row r="35" spans="1:13" ht="14.25" customHeight="1" x14ac:dyDescent="0.3">
      <c r="A35" s="7"/>
      <c r="B35" s="7"/>
      <c r="C35" s="7"/>
      <c r="D35" s="7"/>
      <c r="E35" s="7"/>
      <c r="F35" s="8"/>
      <c r="G35" s="8"/>
      <c r="H35" s="7"/>
      <c r="I35" s="9"/>
      <c r="J35" s="7"/>
      <c r="K35" s="7"/>
      <c r="L35" s="7"/>
      <c r="M35" s="7" t="str">
        <f t="shared" ref="M35:M66" ca="1" si="1">IF(D35="","",IF(H35="Completed","Completed",IF(H35="Blocked","Blocked",IF(H35="Delayed","Delayed",IF(AND(G35&lt;&gt;"",G35&lt;TODAY(),H35&lt;&gt;"Completed"),"Overdue","On Track")))))</f>
        <v/>
      </c>
    </row>
    <row r="36" spans="1:13" ht="14.25" customHeight="1" x14ac:dyDescent="0.3">
      <c r="A36" s="7"/>
      <c r="B36" s="7"/>
      <c r="C36" s="7"/>
      <c r="D36" s="7"/>
      <c r="E36" s="7"/>
      <c r="F36" s="8"/>
      <c r="G36" s="8"/>
      <c r="H36" s="7"/>
      <c r="I36" s="9"/>
      <c r="J36" s="7"/>
      <c r="K36" s="7"/>
      <c r="L36" s="7"/>
      <c r="M36" s="7" t="str">
        <f t="shared" ca="1" si="1"/>
        <v/>
      </c>
    </row>
    <row r="37" spans="1:13" ht="14.25" customHeight="1" x14ac:dyDescent="0.3">
      <c r="A37" s="7"/>
      <c r="B37" s="7"/>
      <c r="C37" s="7"/>
      <c r="D37" s="7"/>
      <c r="E37" s="7"/>
      <c r="F37" s="8"/>
      <c r="G37" s="8"/>
      <c r="H37" s="7"/>
      <c r="I37" s="9"/>
      <c r="J37" s="7"/>
      <c r="K37" s="7"/>
      <c r="L37" s="7"/>
      <c r="M37" s="7" t="str">
        <f t="shared" ca="1" si="1"/>
        <v/>
      </c>
    </row>
    <row r="38" spans="1:13" ht="14.25" customHeight="1" x14ac:dyDescent="0.3">
      <c r="A38" s="7"/>
      <c r="B38" s="7"/>
      <c r="C38" s="7"/>
      <c r="D38" s="7"/>
      <c r="E38" s="7"/>
      <c r="F38" s="8"/>
      <c r="G38" s="8"/>
      <c r="H38" s="7"/>
      <c r="I38" s="9"/>
      <c r="J38" s="7"/>
      <c r="K38" s="7"/>
      <c r="L38" s="7"/>
      <c r="M38" s="7" t="str">
        <f t="shared" ca="1" si="1"/>
        <v/>
      </c>
    </row>
    <row r="39" spans="1:13" ht="14.25" customHeight="1" x14ac:dyDescent="0.3">
      <c r="A39" s="7"/>
      <c r="B39" s="7"/>
      <c r="C39" s="7"/>
      <c r="D39" s="7"/>
      <c r="E39" s="7"/>
      <c r="F39" s="8"/>
      <c r="G39" s="8"/>
      <c r="H39" s="7"/>
      <c r="I39" s="9"/>
      <c r="J39" s="7"/>
      <c r="K39" s="7"/>
      <c r="L39" s="7"/>
      <c r="M39" s="7" t="str">
        <f t="shared" ca="1" si="1"/>
        <v/>
      </c>
    </row>
    <row r="40" spans="1:13" ht="14.25" customHeight="1" x14ac:dyDescent="0.3">
      <c r="A40" s="7"/>
      <c r="B40" s="7"/>
      <c r="C40" s="7"/>
      <c r="D40" s="7"/>
      <c r="E40" s="7"/>
      <c r="F40" s="8"/>
      <c r="G40" s="8"/>
      <c r="H40" s="7"/>
      <c r="I40" s="9"/>
      <c r="J40" s="7"/>
      <c r="K40" s="7"/>
      <c r="L40" s="7"/>
      <c r="M40" s="7" t="str">
        <f t="shared" ca="1" si="1"/>
        <v/>
      </c>
    </row>
    <row r="41" spans="1:13" ht="14.25" customHeight="1" x14ac:dyDescent="0.3">
      <c r="A41" s="7"/>
      <c r="B41" s="7"/>
      <c r="C41" s="7"/>
      <c r="D41" s="7"/>
      <c r="E41" s="7"/>
      <c r="F41" s="8"/>
      <c r="G41" s="8"/>
      <c r="H41" s="7"/>
      <c r="I41" s="9"/>
      <c r="J41" s="7"/>
      <c r="K41" s="7"/>
      <c r="L41" s="7"/>
      <c r="M41" s="7" t="str">
        <f t="shared" ca="1" si="1"/>
        <v/>
      </c>
    </row>
    <row r="42" spans="1:13" ht="14.25" customHeight="1" x14ac:dyDescent="0.3">
      <c r="A42" s="7"/>
      <c r="B42" s="7"/>
      <c r="C42" s="7"/>
      <c r="D42" s="7"/>
      <c r="E42" s="7"/>
      <c r="F42" s="8"/>
      <c r="G42" s="8"/>
      <c r="H42" s="7"/>
      <c r="I42" s="9"/>
      <c r="J42" s="7"/>
      <c r="K42" s="7"/>
      <c r="L42" s="7"/>
      <c r="M42" s="7" t="str">
        <f t="shared" ca="1" si="1"/>
        <v/>
      </c>
    </row>
    <row r="43" spans="1:13" ht="14.25" customHeight="1" x14ac:dyDescent="0.3">
      <c r="A43" s="7"/>
      <c r="B43" s="7"/>
      <c r="C43" s="7"/>
      <c r="D43" s="7"/>
      <c r="E43" s="7"/>
      <c r="F43" s="8"/>
      <c r="G43" s="8"/>
      <c r="H43" s="7"/>
      <c r="I43" s="9"/>
      <c r="J43" s="7"/>
      <c r="K43" s="7"/>
      <c r="L43" s="7"/>
      <c r="M43" s="7" t="str">
        <f t="shared" ca="1" si="1"/>
        <v/>
      </c>
    </row>
    <row r="44" spans="1:13" ht="14.25" customHeight="1" x14ac:dyDescent="0.3">
      <c r="A44" s="7"/>
      <c r="B44" s="7"/>
      <c r="C44" s="7"/>
      <c r="D44" s="7"/>
      <c r="E44" s="7"/>
      <c r="F44" s="8"/>
      <c r="G44" s="8"/>
      <c r="H44" s="7"/>
      <c r="I44" s="9"/>
      <c r="J44" s="7"/>
      <c r="K44" s="7"/>
      <c r="L44" s="7"/>
      <c r="M44" s="7" t="str">
        <f t="shared" ca="1" si="1"/>
        <v/>
      </c>
    </row>
    <row r="45" spans="1:13" ht="14.25" customHeight="1" x14ac:dyDescent="0.3">
      <c r="A45" s="7"/>
      <c r="B45" s="7"/>
      <c r="C45" s="7"/>
      <c r="D45" s="7"/>
      <c r="E45" s="7"/>
      <c r="F45" s="8"/>
      <c r="G45" s="8"/>
      <c r="H45" s="7"/>
      <c r="I45" s="9"/>
      <c r="J45" s="7"/>
      <c r="K45" s="7"/>
      <c r="L45" s="7"/>
      <c r="M45" s="7" t="str">
        <f t="shared" ca="1" si="1"/>
        <v/>
      </c>
    </row>
    <row r="46" spans="1:13" ht="14.25" customHeight="1" x14ac:dyDescent="0.3">
      <c r="A46" s="7"/>
      <c r="B46" s="7"/>
      <c r="C46" s="7"/>
      <c r="D46" s="7"/>
      <c r="E46" s="7"/>
      <c r="F46" s="8"/>
      <c r="G46" s="8"/>
      <c r="H46" s="7"/>
      <c r="I46" s="9"/>
      <c r="J46" s="7"/>
      <c r="K46" s="7"/>
      <c r="L46" s="7"/>
      <c r="M46" s="7" t="str">
        <f t="shared" ca="1" si="1"/>
        <v/>
      </c>
    </row>
    <row r="47" spans="1:13" ht="14.25" customHeight="1" x14ac:dyDescent="0.3">
      <c r="A47" s="7"/>
      <c r="B47" s="7"/>
      <c r="C47" s="7"/>
      <c r="D47" s="7"/>
      <c r="E47" s="7"/>
      <c r="F47" s="8"/>
      <c r="G47" s="8"/>
      <c r="H47" s="7"/>
      <c r="I47" s="9"/>
      <c r="J47" s="7"/>
      <c r="K47" s="7"/>
      <c r="L47" s="7"/>
      <c r="M47" s="7" t="str">
        <f t="shared" ca="1" si="1"/>
        <v/>
      </c>
    </row>
    <row r="48" spans="1:13" ht="14.25" customHeight="1" x14ac:dyDescent="0.3">
      <c r="A48" s="7"/>
      <c r="B48" s="7"/>
      <c r="C48" s="7"/>
      <c r="D48" s="7"/>
      <c r="E48" s="7"/>
      <c r="F48" s="8"/>
      <c r="G48" s="8"/>
      <c r="H48" s="7"/>
      <c r="I48" s="9"/>
      <c r="J48" s="7"/>
      <c r="K48" s="7"/>
      <c r="L48" s="7"/>
      <c r="M48" s="7" t="str">
        <f t="shared" ca="1" si="1"/>
        <v/>
      </c>
    </row>
    <row r="49" spans="1:13" ht="14.25" customHeight="1" x14ac:dyDescent="0.3">
      <c r="A49" s="7"/>
      <c r="B49" s="7"/>
      <c r="C49" s="7"/>
      <c r="D49" s="7"/>
      <c r="E49" s="7"/>
      <c r="F49" s="8"/>
      <c r="G49" s="8"/>
      <c r="H49" s="7"/>
      <c r="I49" s="9"/>
      <c r="J49" s="7"/>
      <c r="K49" s="7"/>
      <c r="L49" s="7"/>
      <c r="M49" s="7" t="str">
        <f t="shared" ca="1" si="1"/>
        <v/>
      </c>
    </row>
    <row r="50" spans="1:13" ht="14.25" customHeight="1" x14ac:dyDescent="0.3">
      <c r="A50" s="7"/>
      <c r="B50" s="7"/>
      <c r="C50" s="7"/>
      <c r="D50" s="7"/>
      <c r="E50" s="7"/>
      <c r="F50" s="8"/>
      <c r="G50" s="8"/>
      <c r="H50" s="7"/>
      <c r="I50" s="9"/>
      <c r="J50" s="7"/>
      <c r="K50" s="7"/>
      <c r="L50" s="7"/>
      <c r="M50" s="7" t="str">
        <f t="shared" ca="1" si="1"/>
        <v/>
      </c>
    </row>
    <row r="51" spans="1:13" ht="14.25" customHeight="1" x14ac:dyDescent="0.3">
      <c r="A51" s="7"/>
      <c r="B51" s="7"/>
      <c r="C51" s="7"/>
      <c r="D51" s="7"/>
      <c r="E51" s="7"/>
      <c r="F51" s="8"/>
      <c r="G51" s="8"/>
      <c r="H51" s="7"/>
      <c r="I51" s="9"/>
      <c r="J51" s="7"/>
      <c r="K51" s="7"/>
      <c r="L51" s="7"/>
      <c r="M51" s="7" t="str">
        <f t="shared" ca="1" si="1"/>
        <v/>
      </c>
    </row>
    <row r="52" spans="1:13" ht="14.25" customHeight="1" x14ac:dyDescent="0.3">
      <c r="A52" s="7"/>
      <c r="B52" s="7"/>
      <c r="C52" s="7"/>
      <c r="D52" s="7"/>
      <c r="E52" s="7"/>
      <c r="F52" s="8"/>
      <c r="G52" s="8"/>
      <c r="H52" s="7"/>
      <c r="I52" s="9"/>
      <c r="J52" s="7"/>
      <c r="K52" s="7"/>
      <c r="L52" s="7"/>
      <c r="M52" s="7" t="str">
        <f t="shared" ca="1" si="1"/>
        <v/>
      </c>
    </row>
    <row r="53" spans="1:13" ht="14.25" customHeight="1" x14ac:dyDescent="0.3">
      <c r="A53" s="7"/>
      <c r="B53" s="7"/>
      <c r="C53" s="7"/>
      <c r="D53" s="7"/>
      <c r="E53" s="7"/>
      <c r="F53" s="8"/>
      <c r="G53" s="8"/>
      <c r="H53" s="7"/>
      <c r="I53" s="9"/>
      <c r="J53" s="7"/>
      <c r="K53" s="7"/>
      <c r="L53" s="7"/>
      <c r="M53" s="7" t="str">
        <f t="shared" ca="1" si="1"/>
        <v/>
      </c>
    </row>
    <row r="54" spans="1:13" ht="14.25" customHeight="1" x14ac:dyDescent="0.3">
      <c r="A54" s="7"/>
      <c r="B54" s="7"/>
      <c r="C54" s="7"/>
      <c r="D54" s="7"/>
      <c r="E54" s="7"/>
      <c r="F54" s="8"/>
      <c r="G54" s="8"/>
      <c r="H54" s="7"/>
      <c r="I54" s="9"/>
      <c r="J54" s="7"/>
      <c r="K54" s="7"/>
      <c r="L54" s="7"/>
      <c r="M54" s="7" t="str">
        <f t="shared" ca="1" si="1"/>
        <v/>
      </c>
    </row>
    <row r="55" spans="1:13" ht="14.25" customHeight="1" x14ac:dyDescent="0.3">
      <c r="A55" s="7"/>
      <c r="B55" s="7"/>
      <c r="C55" s="7"/>
      <c r="D55" s="7"/>
      <c r="E55" s="7"/>
      <c r="F55" s="8"/>
      <c r="G55" s="8"/>
      <c r="H55" s="7"/>
      <c r="I55" s="9"/>
      <c r="J55" s="7"/>
      <c r="K55" s="7"/>
      <c r="L55" s="7"/>
      <c r="M55" s="7" t="str">
        <f t="shared" ca="1" si="1"/>
        <v/>
      </c>
    </row>
    <row r="56" spans="1:13" ht="14.25" customHeight="1" x14ac:dyDescent="0.3">
      <c r="A56" s="7"/>
      <c r="B56" s="7"/>
      <c r="C56" s="7"/>
      <c r="D56" s="7"/>
      <c r="E56" s="7"/>
      <c r="F56" s="8"/>
      <c r="G56" s="8"/>
      <c r="H56" s="7"/>
      <c r="I56" s="9"/>
      <c r="J56" s="7"/>
      <c r="K56" s="7"/>
      <c r="L56" s="7"/>
      <c r="M56" s="7" t="str">
        <f t="shared" ca="1" si="1"/>
        <v/>
      </c>
    </row>
    <row r="57" spans="1:13" ht="14.25" customHeight="1" x14ac:dyDescent="0.3">
      <c r="A57" s="7"/>
      <c r="B57" s="7"/>
      <c r="C57" s="7"/>
      <c r="D57" s="7"/>
      <c r="E57" s="7"/>
      <c r="F57" s="8"/>
      <c r="G57" s="8"/>
      <c r="H57" s="7"/>
      <c r="I57" s="9"/>
      <c r="J57" s="7"/>
      <c r="K57" s="7"/>
      <c r="L57" s="7"/>
      <c r="M57" s="7" t="str">
        <f t="shared" ca="1" si="1"/>
        <v/>
      </c>
    </row>
    <row r="58" spans="1:13" ht="14.25" customHeight="1" x14ac:dyDescent="0.3">
      <c r="A58" s="7"/>
      <c r="B58" s="7"/>
      <c r="C58" s="7"/>
      <c r="D58" s="7"/>
      <c r="E58" s="7"/>
      <c r="F58" s="8"/>
      <c r="G58" s="8"/>
      <c r="H58" s="7"/>
      <c r="I58" s="9"/>
      <c r="J58" s="7"/>
      <c r="K58" s="7"/>
      <c r="L58" s="7"/>
      <c r="M58" s="7" t="str">
        <f t="shared" ca="1" si="1"/>
        <v/>
      </c>
    </row>
    <row r="59" spans="1:13" ht="14.25" customHeight="1" x14ac:dyDescent="0.3">
      <c r="A59" s="7"/>
      <c r="B59" s="7"/>
      <c r="C59" s="7"/>
      <c r="D59" s="7"/>
      <c r="E59" s="7"/>
      <c r="F59" s="8"/>
      <c r="G59" s="8"/>
      <c r="H59" s="7"/>
      <c r="I59" s="9"/>
      <c r="J59" s="7"/>
      <c r="K59" s="7"/>
      <c r="L59" s="7"/>
      <c r="M59" s="7" t="str">
        <f t="shared" ca="1" si="1"/>
        <v/>
      </c>
    </row>
    <row r="60" spans="1:13" ht="14.25" customHeight="1" x14ac:dyDescent="0.3">
      <c r="A60" s="7"/>
      <c r="B60" s="7"/>
      <c r="C60" s="7"/>
      <c r="D60" s="7"/>
      <c r="E60" s="7"/>
      <c r="F60" s="8"/>
      <c r="G60" s="8"/>
      <c r="H60" s="7"/>
      <c r="I60" s="9"/>
      <c r="J60" s="7"/>
      <c r="K60" s="7"/>
      <c r="L60" s="7"/>
      <c r="M60" s="7" t="str">
        <f t="shared" ca="1" si="1"/>
        <v/>
      </c>
    </row>
    <row r="61" spans="1:13" ht="14.25" customHeight="1" x14ac:dyDescent="0.3">
      <c r="A61" s="7"/>
      <c r="B61" s="7"/>
      <c r="C61" s="7"/>
      <c r="D61" s="7"/>
      <c r="E61" s="7"/>
      <c r="F61" s="8"/>
      <c r="G61" s="8"/>
      <c r="H61" s="7"/>
      <c r="I61" s="9"/>
      <c r="J61" s="7"/>
      <c r="K61" s="7"/>
      <c r="L61" s="7"/>
      <c r="M61" s="7" t="str">
        <f t="shared" ca="1" si="1"/>
        <v/>
      </c>
    </row>
    <row r="62" spans="1:13" ht="14.25" customHeight="1" x14ac:dyDescent="0.3">
      <c r="A62" s="7"/>
      <c r="B62" s="7"/>
      <c r="C62" s="7"/>
      <c r="D62" s="7"/>
      <c r="E62" s="7"/>
      <c r="F62" s="8"/>
      <c r="G62" s="8"/>
      <c r="H62" s="7"/>
      <c r="I62" s="9"/>
      <c r="J62" s="7"/>
      <c r="K62" s="7"/>
      <c r="L62" s="7"/>
      <c r="M62" s="7" t="str">
        <f t="shared" ca="1" si="1"/>
        <v/>
      </c>
    </row>
    <row r="63" spans="1:13" ht="14.25" customHeight="1" x14ac:dyDescent="0.3">
      <c r="A63" s="7"/>
      <c r="B63" s="7"/>
      <c r="C63" s="7"/>
      <c r="D63" s="7"/>
      <c r="E63" s="7"/>
      <c r="F63" s="8"/>
      <c r="G63" s="8"/>
      <c r="H63" s="7"/>
      <c r="I63" s="9"/>
      <c r="J63" s="7"/>
      <c r="K63" s="7"/>
      <c r="L63" s="7"/>
      <c r="M63" s="7" t="str">
        <f t="shared" ca="1" si="1"/>
        <v/>
      </c>
    </row>
    <row r="64" spans="1:13" ht="14.25" customHeight="1" x14ac:dyDescent="0.3">
      <c r="A64" s="7"/>
      <c r="B64" s="7"/>
      <c r="C64" s="7"/>
      <c r="D64" s="7"/>
      <c r="E64" s="7"/>
      <c r="F64" s="8"/>
      <c r="G64" s="8"/>
      <c r="H64" s="7"/>
      <c r="I64" s="9"/>
      <c r="J64" s="7"/>
      <c r="K64" s="7"/>
      <c r="L64" s="7"/>
      <c r="M64" s="7" t="str">
        <f t="shared" ca="1" si="1"/>
        <v/>
      </c>
    </row>
    <row r="65" spans="1:13" ht="14.25" customHeight="1" x14ac:dyDescent="0.3">
      <c r="A65" s="7"/>
      <c r="B65" s="7"/>
      <c r="C65" s="7"/>
      <c r="D65" s="7"/>
      <c r="E65" s="7"/>
      <c r="F65" s="8"/>
      <c r="G65" s="8"/>
      <c r="H65" s="7"/>
      <c r="I65" s="9"/>
      <c r="J65" s="7"/>
      <c r="K65" s="7"/>
      <c r="L65" s="7"/>
      <c r="M65" s="7" t="str">
        <f t="shared" ca="1" si="1"/>
        <v/>
      </c>
    </row>
    <row r="66" spans="1:13" ht="14.25" customHeight="1" x14ac:dyDescent="0.3">
      <c r="A66" s="7"/>
      <c r="B66" s="7"/>
      <c r="C66" s="7"/>
      <c r="D66" s="7"/>
      <c r="E66" s="7"/>
      <c r="F66" s="8"/>
      <c r="G66" s="8"/>
      <c r="H66" s="7"/>
      <c r="I66" s="9"/>
      <c r="J66" s="7"/>
      <c r="K66" s="7"/>
      <c r="L66" s="7"/>
      <c r="M66" s="7" t="str">
        <f t="shared" ca="1" si="1"/>
        <v/>
      </c>
    </row>
    <row r="67" spans="1:13" ht="14.25" customHeight="1" x14ac:dyDescent="0.3">
      <c r="A67" s="7"/>
      <c r="B67" s="7"/>
      <c r="C67" s="7"/>
      <c r="D67" s="7"/>
      <c r="E67" s="7"/>
      <c r="F67" s="8"/>
      <c r="G67" s="8"/>
      <c r="H67" s="7"/>
      <c r="I67" s="9"/>
      <c r="J67" s="7"/>
      <c r="K67" s="7"/>
      <c r="L67" s="7"/>
      <c r="M67" s="7" t="str">
        <f t="shared" ref="M67:M101" ca="1" si="2">IF(D67="","",IF(H67="Completed","Completed",IF(H67="Blocked","Blocked",IF(H67="Delayed","Delayed",IF(AND(G67&lt;&gt;"",G67&lt;TODAY(),H67&lt;&gt;"Completed"),"Overdue","On Track")))))</f>
        <v/>
      </c>
    </row>
    <row r="68" spans="1:13" ht="14.25" customHeight="1" x14ac:dyDescent="0.3">
      <c r="A68" s="7"/>
      <c r="B68" s="7"/>
      <c r="C68" s="7"/>
      <c r="D68" s="7"/>
      <c r="E68" s="7"/>
      <c r="F68" s="8"/>
      <c r="G68" s="8"/>
      <c r="H68" s="7"/>
      <c r="I68" s="9"/>
      <c r="J68" s="7"/>
      <c r="K68" s="7"/>
      <c r="L68" s="7"/>
      <c r="M68" s="7" t="str">
        <f t="shared" ca="1" si="2"/>
        <v/>
      </c>
    </row>
    <row r="69" spans="1:13" ht="14.25" customHeight="1" x14ac:dyDescent="0.3">
      <c r="A69" s="7"/>
      <c r="B69" s="7"/>
      <c r="C69" s="7"/>
      <c r="D69" s="7"/>
      <c r="E69" s="7"/>
      <c r="F69" s="8"/>
      <c r="G69" s="8"/>
      <c r="H69" s="7"/>
      <c r="I69" s="9"/>
      <c r="J69" s="7"/>
      <c r="K69" s="7"/>
      <c r="L69" s="7"/>
      <c r="M69" s="7" t="str">
        <f t="shared" ca="1" si="2"/>
        <v/>
      </c>
    </row>
    <row r="70" spans="1:13" ht="14.25" customHeight="1" x14ac:dyDescent="0.3">
      <c r="A70" s="7"/>
      <c r="B70" s="7"/>
      <c r="C70" s="7"/>
      <c r="D70" s="7"/>
      <c r="E70" s="7"/>
      <c r="F70" s="8"/>
      <c r="G70" s="8"/>
      <c r="H70" s="7"/>
      <c r="I70" s="9"/>
      <c r="J70" s="7"/>
      <c r="K70" s="7"/>
      <c r="L70" s="7"/>
      <c r="M70" s="7" t="str">
        <f t="shared" ca="1" si="2"/>
        <v/>
      </c>
    </row>
    <row r="71" spans="1:13" ht="14.25" customHeight="1" x14ac:dyDescent="0.3">
      <c r="A71" s="7"/>
      <c r="B71" s="7"/>
      <c r="C71" s="7"/>
      <c r="D71" s="7"/>
      <c r="E71" s="7"/>
      <c r="F71" s="8"/>
      <c r="G71" s="8"/>
      <c r="H71" s="7"/>
      <c r="I71" s="9"/>
      <c r="J71" s="7"/>
      <c r="K71" s="7"/>
      <c r="L71" s="7"/>
      <c r="M71" s="7" t="str">
        <f t="shared" ca="1" si="2"/>
        <v/>
      </c>
    </row>
    <row r="72" spans="1:13" ht="14.25" customHeight="1" x14ac:dyDescent="0.3">
      <c r="A72" s="7"/>
      <c r="B72" s="7"/>
      <c r="C72" s="7"/>
      <c r="D72" s="7"/>
      <c r="E72" s="7"/>
      <c r="F72" s="8"/>
      <c r="G72" s="8"/>
      <c r="H72" s="7"/>
      <c r="I72" s="9"/>
      <c r="J72" s="7"/>
      <c r="K72" s="7"/>
      <c r="L72" s="7"/>
      <c r="M72" s="7" t="str">
        <f t="shared" ca="1" si="2"/>
        <v/>
      </c>
    </row>
    <row r="73" spans="1:13" ht="14.25" customHeight="1" x14ac:dyDescent="0.3">
      <c r="A73" s="7"/>
      <c r="B73" s="7"/>
      <c r="C73" s="7"/>
      <c r="D73" s="7"/>
      <c r="E73" s="7"/>
      <c r="F73" s="8"/>
      <c r="G73" s="8"/>
      <c r="H73" s="7"/>
      <c r="I73" s="9"/>
      <c r="J73" s="7"/>
      <c r="K73" s="7"/>
      <c r="L73" s="7"/>
      <c r="M73" s="7" t="str">
        <f t="shared" ca="1" si="2"/>
        <v/>
      </c>
    </row>
    <row r="74" spans="1:13" ht="14.25" customHeight="1" x14ac:dyDescent="0.3">
      <c r="A74" s="7"/>
      <c r="B74" s="7"/>
      <c r="C74" s="7"/>
      <c r="D74" s="7"/>
      <c r="E74" s="7"/>
      <c r="F74" s="8"/>
      <c r="G74" s="8"/>
      <c r="H74" s="7"/>
      <c r="I74" s="9"/>
      <c r="J74" s="7"/>
      <c r="K74" s="7"/>
      <c r="L74" s="7"/>
      <c r="M74" s="7" t="str">
        <f t="shared" ca="1" si="2"/>
        <v/>
      </c>
    </row>
    <row r="75" spans="1:13" ht="14.25" customHeight="1" x14ac:dyDescent="0.3">
      <c r="A75" s="7"/>
      <c r="B75" s="7"/>
      <c r="C75" s="7"/>
      <c r="D75" s="7"/>
      <c r="E75" s="7"/>
      <c r="F75" s="8"/>
      <c r="G75" s="8"/>
      <c r="H75" s="7"/>
      <c r="I75" s="9"/>
      <c r="J75" s="7"/>
      <c r="K75" s="7"/>
      <c r="L75" s="7"/>
      <c r="M75" s="7" t="str">
        <f t="shared" ca="1" si="2"/>
        <v/>
      </c>
    </row>
    <row r="76" spans="1:13" ht="14.25" customHeight="1" x14ac:dyDescent="0.3">
      <c r="A76" s="7"/>
      <c r="B76" s="7"/>
      <c r="C76" s="7"/>
      <c r="D76" s="7"/>
      <c r="E76" s="7"/>
      <c r="F76" s="8"/>
      <c r="G76" s="8"/>
      <c r="H76" s="7"/>
      <c r="I76" s="9"/>
      <c r="J76" s="7"/>
      <c r="K76" s="7"/>
      <c r="L76" s="7"/>
      <c r="M76" s="7" t="str">
        <f t="shared" ca="1" si="2"/>
        <v/>
      </c>
    </row>
    <row r="77" spans="1:13" ht="14.25" customHeight="1" x14ac:dyDescent="0.3">
      <c r="A77" s="7"/>
      <c r="B77" s="7"/>
      <c r="C77" s="7"/>
      <c r="D77" s="7"/>
      <c r="E77" s="7"/>
      <c r="F77" s="8"/>
      <c r="G77" s="8"/>
      <c r="H77" s="7"/>
      <c r="I77" s="9"/>
      <c r="J77" s="7"/>
      <c r="K77" s="7"/>
      <c r="L77" s="7"/>
      <c r="M77" s="7" t="str">
        <f t="shared" ca="1" si="2"/>
        <v/>
      </c>
    </row>
    <row r="78" spans="1:13" ht="14.25" customHeight="1" x14ac:dyDescent="0.3">
      <c r="A78" s="7"/>
      <c r="B78" s="7"/>
      <c r="C78" s="7"/>
      <c r="D78" s="7"/>
      <c r="E78" s="7"/>
      <c r="F78" s="8"/>
      <c r="G78" s="8"/>
      <c r="H78" s="7"/>
      <c r="I78" s="9"/>
      <c r="J78" s="7"/>
      <c r="K78" s="7"/>
      <c r="L78" s="7"/>
      <c r="M78" s="7" t="str">
        <f t="shared" ca="1" si="2"/>
        <v/>
      </c>
    </row>
    <row r="79" spans="1:13" ht="14.25" customHeight="1" x14ac:dyDescent="0.3">
      <c r="A79" s="7"/>
      <c r="B79" s="7"/>
      <c r="C79" s="7"/>
      <c r="D79" s="7"/>
      <c r="E79" s="7"/>
      <c r="F79" s="8"/>
      <c r="G79" s="8"/>
      <c r="H79" s="7"/>
      <c r="I79" s="9"/>
      <c r="J79" s="7"/>
      <c r="K79" s="7"/>
      <c r="L79" s="7"/>
      <c r="M79" s="7" t="str">
        <f t="shared" ca="1" si="2"/>
        <v/>
      </c>
    </row>
    <row r="80" spans="1:13" ht="14.25" customHeight="1" x14ac:dyDescent="0.3">
      <c r="A80" s="7"/>
      <c r="B80" s="7"/>
      <c r="C80" s="7"/>
      <c r="D80" s="7"/>
      <c r="E80" s="7"/>
      <c r="F80" s="8"/>
      <c r="G80" s="8"/>
      <c r="H80" s="7"/>
      <c r="I80" s="9"/>
      <c r="J80" s="7"/>
      <c r="K80" s="7"/>
      <c r="L80" s="7"/>
      <c r="M80" s="7" t="str">
        <f t="shared" ca="1" si="2"/>
        <v/>
      </c>
    </row>
    <row r="81" spans="1:13" ht="14.25" customHeight="1" x14ac:dyDescent="0.3">
      <c r="A81" s="7"/>
      <c r="B81" s="7"/>
      <c r="C81" s="7"/>
      <c r="D81" s="7"/>
      <c r="E81" s="7"/>
      <c r="F81" s="8"/>
      <c r="G81" s="8"/>
      <c r="H81" s="7"/>
      <c r="I81" s="9"/>
      <c r="J81" s="7"/>
      <c r="K81" s="7"/>
      <c r="L81" s="7"/>
      <c r="M81" s="7" t="str">
        <f t="shared" ca="1" si="2"/>
        <v/>
      </c>
    </row>
    <row r="82" spans="1:13" ht="14.25" customHeight="1" x14ac:dyDescent="0.3">
      <c r="A82" s="7"/>
      <c r="B82" s="7"/>
      <c r="C82" s="7"/>
      <c r="D82" s="7"/>
      <c r="E82" s="7"/>
      <c r="F82" s="8"/>
      <c r="G82" s="8"/>
      <c r="H82" s="7"/>
      <c r="I82" s="9"/>
      <c r="J82" s="7"/>
      <c r="K82" s="7"/>
      <c r="L82" s="7"/>
      <c r="M82" s="7" t="str">
        <f t="shared" ca="1" si="2"/>
        <v/>
      </c>
    </row>
    <row r="83" spans="1:13" ht="14.25" customHeight="1" x14ac:dyDescent="0.3">
      <c r="A83" s="7"/>
      <c r="B83" s="7"/>
      <c r="C83" s="7"/>
      <c r="D83" s="7"/>
      <c r="E83" s="7"/>
      <c r="F83" s="8"/>
      <c r="G83" s="8"/>
      <c r="H83" s="7"/>
      <c r="I83" s="9"/>
      <c r="J83" s="7"/>
      <c r="K83" s="7"/>
      <c r="L83" s="7"/>
      <c r="M83" s="7" t="str">
        <f t="shared" ca="1" si="2"/>
        <v/>
      </c>
    </row>
    <row r="84" spans="1:13" ht="14.25" customHeight="1" x14ac:dyDescent="0.3">
      <c r="A84" s="7"/>
      <c r="B84" s="7"/>
      <c r="C84" s="7"/>
      <c r="D84" s="7"/>
      <c r="E84" s="7"/>
      <c r="F84" s="8"/>
      <c r="G84" s="8"/>
      <c r="H84" s="7"/>
      <c r="I84" s="9"/>
      <c r="J84" s="7"/>
      <c r="K84" s="7"/>
      <c r="L84" s="7"/>
      <c r="M84" s="7" t="str">
        <f t="shared" ca="1" si="2"/>
        <v/>
      </c>
    </row>
    <row r="85" spans="1:13" ht="14.25" customHeight="1" x14ac:dyDescent="0.3">
      <c r="A85" s="7"/>
      <c r="B85" s="7"/>
      <c r="C85" s="7"/>
      <c r="D85" s="7"/>
      <c r="E85" s="7"/>
      <c r="F85" s="8"/>
      <c r="G85" s="8"/>
      <c r="H85" s="7"/>
      <c r="I85" s="9"/>
      <c r="J85" s="7"/>
      <c r="K85" s="7"/>
      <c r="L85" s="7"/>
      <c r="M85" s="7" t="str">
        <f t="shared" ca="1" si="2"/>
        <v/>
      </c>
    </row>
    <row r="86" spans="1:13" ht="14.25" customHeight="1" x14ac:dyDescent="0.3">
      <c r="A86" s="7"/>
      <c r="B86" s="7"/>
      <c r="C86" s="7"/>
      <c r="D86" s="7"/>
      <c r="E86" s="7"/>
      <c r="F86" s="8"/>
      <c r="G86" s="8"/>
      <c r="H86" s="7"/>
      <c r="I86" s="9"/>
      <c r="J86" s="7"/>
      <c r="K86" s="7"/>
      <c r="L86" s="7"/>
      <c r="M86" s="7" t="str">
        <f t="shared" ca="1" si="2"/>
        <v/>
      </c>
    </row>
    <row r="87" spans="1:13" ht="14.25" customHeight="1" x14ac:dyDescent="0.3">
      <c r="A87" s="7"/>
      <c r="B87" s="7"/>
      <c r="C87" s="7"/>
      <c r="D87" s="7"/>
      <c r="E87" s="7"/>
      <c r="F87" s="8"/>
      <c r="G87" s="8"/>
      <c r="H87" s="7"/>
      <c r="I87" s="9"/>
      <c r="J87" s="7"/>
      <c r="K87" s="7"/>
      <c r="L87" s="7"/>
      <c r="M87" s="7" t="str">
        <f t="shared" ca="1" si="2"/>
        <v/>
      </c>
    </row>
    <row r="88" spans="1:13" ht="14.25" customHeight="1" x14ac:dyDescent="0.3">
      <c r="A88" s="7"/>
      <c r="B88" s="7"/>
      <c r="C88" s="7"/>
      <c r="D88" s="7"/>
      <c r="E88" s="7"/>
      <c r="F88" s="8"/>
      <c r="G88" s="8"/>
      <c r="H88" s="7"/>
      <c r="I88" s="9"/>
      <c r="J88" s="7"/>
      <c r="K88" s="7"/>
      <c r="L88" s="7"/>
      <c r="M88" s="7" t="str">
        <f t="shared" ca="1" si="2"/>
        <v/>
      </c>
    </row>
    <row r="89" spans="1:13" ht="14.25" customHeight="1" x14ac:dyDescent="0.3">
      <c r="A89" s="7"/>
      <c r="B89" s="7"/>
      <c r="C89" s="7"/>
      <c r="D89" s="7"/>
      <c r="E89" s="7"/>
      <c r="F89" s="8"/>
      <c r="G89" s="8"/>
      <c r="H89" s="7"/>
      <c r="I89" s="9"/>
      <c r="J89" s="7"/>
      <c r="K89" s="7"/>
      <c r="L89" s="7"/>
      <c r="M89" s="7" t="str">
        <f t="shared" ca="1" si="2"/>
        <v/>
      </c>
    </row>
    <row r="90" spans="1:13" ht="14.25" customHeight="1" x14ac:dyDescent="0.3">
      <c r="A90" s="7"/>
      <c r="B90" s="7"/>
      <c r="C90" s="7"/>
      <c r="D90" s="7"/>
      <c r="E90" s="7"/>
      <c r="F90" s="8"/>
      <c r="G90" s="8"/>
      <c r="H90" s="7"/>
      <c r="I90" s="9"/>
      <c r="J90" s="7"/>
      <c r="K90" s="7"/>
      <c r="L90" s="7"/>
      <c r="M90" s="7" t="str">
        <f t="shared" ca="1" si="2"/>
        <v/>
      </c>
    </row>
    <row r="91" spans="1:13" ht="14.25" customHeight="1" x14ac:dyDescent="0.3">
      <c r="A91" s="7"/>
      <c r="B91" s="7"/>
      <c r="C91" s="7"/>
      <c r="D91" s="7"/>
      <c r="E91" s="7"/>
      <c r="F91" s="8"/>
      <c r="G91" s="8"/>
      <c r="H91" s="7"/>
      <c r="I91" s="9"/>
      <c r="J91" s="7"/>
      <c r="K91" s="7"/>
      <c r="L91" s="7"/>
      <c r="M91" s="7" t="str">
        <f t="shared" ca="1" si="2"/>
        <v/>
      </c>
    </row>
    <row r="92" spans="1:13" ht="14.25" customHeight="1" x14ac:dyDescent="0.3">
      <c r="A92" s="7"/>
      <c r="B92" s="7"/>
      <c r="C92" s="7"/>
      <c r="D92" s="7"/>
      <c r="E92" s="7"/>
      <c r="F92" s="8"/>
      <c r="G92" s="8"/>
      <c r="H92" s="7"/>
      <c r="I92" s="9"/>
      <c r="J92" s="7"/>
      <c r="K92" s="7"/>
      <c r="L92" s="7"/>
      <c r="M92" s="7" t="str">
        <f t="shared" ca="1" si="2"/>
        <v/>
      </c>
    </row>
    <row r="93" spans="1:13" ht="14.25" customHeight="1" x14ac:dyDescent="0.3">
      <c r="A93" s="7"/>
      <c r="B93" s="7"/>
      <c r="C93" s="7"/>
      <c r="D93" s="7"/>
      <c r="E93" s="7"/>
      <c r="F93" s="8"/>
      <c r="G93" s="8"/>
      <c r="H93" s="7"/>
      <c r="I93" s="9"/>
      <c r="J93" s="7"/>
      <c r="K93" s="7"/>
      <c r="L93" s="7"/>
      <c r="M93" s="7" t="str">
        <f t="shared" ca="1" si="2"/>
        <v/>
      </c>
    </row>
    <row r="94" spans="1:13" ht="14.25" customHeight="1" x14ac:dyDescent="0.3">
      <c r="A94" s="7"/>
      <c r="B94" s="7"/>
      <c r="C94" s="7"/>
      <c r="D94" s="7"/>
      <c r="E94" s="7"/>
      <c r="F94" s="8"/>
      <c r="G94" s="8"/>
      <c r="H94" s="7"/>
      <c r="I94" s="9"/>
      <c r="J94" s="7"/>
      <c r="K94" s="7"/>
      <c r="L94" s="7"/>
      <c r="M94" s="7" t="str">
        <f t="shared" ca="1" si="2"/>
        <v/>
      </c>
    </row>
    <row r="95" spans="1:13" ht="14.25" customHeight="1" x14ac:dyDescent="0.3">
      <c r="A95" s="7"/>
      <c r="B95" s="7"/>
      <c r="C95" s="7"/>
      <c r="D95" s="7"/>
      <c r="E95" s="7"/>
      <c r="F95" s="8"/>
      <c r="G95" s="8"/>
      <c r="H95" s="7"/>
      <c r="I95" s="9"/>
      <c r="J95" s="7"/>
      <c r="K95" s="7"/>
      <c r="L95" s="7"/>
      <c r="M95" s="7" t="str">
        <f t="shared" ca="1" si="2"/>
        <v/>
      </c>
    </row>
    <row r="96" spans="1:13" ht="14.25" customHeight="1" x14ac:dyDescent="0.3">
      <c r="A96" s="7"/>
      <c r="B96" s="7"/>
      <c r="C96" s="7"/>
      <c r="D96" s="7"/>
      <c r="E96" s="7"/>
      <c r="F96" s="8"/>
      <c r="G96" s="8"/>
      <c r="H96" s="7"/>
      <c r="I96" s="9"/>
      <c r="J96" s="7"/>
      <c r="K96" s="7"/>
      <c r="L96" s="7"/>
      <c r="M96" s="7" t="str">
        <f t="shared" ca="1" si="2"/>
        <v/>
      </c>
    </row>
    <row r="97" spans="1:13" ht="14.25" customHeight="1" x14ac:dyDescent="0.3">
      <c r="A97" s="7"/>
      <c r="B97" s="7"/>
      <c r="C97" s="7"/>
      <c r="D97" s="7"/>
      <c r="E97" s="7"/>
      <c r="F97" s="8"/>
      <c r="G97" s="8"/>
      <c r="H97" s="7"/>
      <c r="I97" s="9"/>
      <c r="J97" s="7"/>
      <c r="K97" s="7"/>
      <c r="L97" s="7"/>
      <c r="M97" s="7" t="str">
        <f t="shared" ca="1" si="2"/>
        <v/>
      </c>
    </row>
    <row r="98" spans="1:13" ht="14.25" customHeight="1" x14ac:dyDescent="0.3">
      <c r="A98" s="7"/>
      <c r="B98" s="7"/>
      <c r="C98" s="7"/>
      <c r="D98" s="7"/>
      <c r="E98" s="7"/>
      <c r="F98" s="8"/>
      <c r="G98" s="8"/>
      <c r="H98" s="7"/>
      <c r="I98" s="9"/>
      <c r="J98" s="7"/>
      <c r="K98" s="7"/>
      <c r="L98" s="7"/>
      <c r="M98" s="7" t="str">
        <f t="shared" ca="1" si="2"/>
        <v/>
      </c>
    </row>
    <row r="99" spans="1:13" ht="14.25" customHeight="1" x14ac:dyDescent="0.3">
      <c r="A99" s="7"/>
      <c r="B99" s="7"/>
      <c r="C99" s="7"/>
      <c r="D99" s="7"/>
      <c r="E99" s="7"/>
      <c r="F99" s="8"/>
      <c r="G99" s="8"/>
      <c r="H99" s="7"/>
      <c r="I99" s="9"/>
      <c r="J99" s="7"/>
      <c r="K99" s="7"/>
      <c r="L99" s="7"/>
      <c r="M99" s="7" t="str">
        <f t="shared" ca="1" si="2"/>
        <v/>
      </c>
    </row>
    <row r="100" spans="1:13" ht="14.25" customHeight="1" x14ac:dyDescent="0.3">
      <c r="A100" s="7"/>
      <c r="B100" s="7"/>
      <c r="C100" s="7"/>
      <c r="D100" s="7"/>
      <c r="E100" s="7"/>
      <c r="F100" s="8"/>
      <c r="G100" s="8"/>
      <c r="H100" s="7"/>
      <c r="I100" s="9"/>
      <c r="J100" s="7"/>
      <c r="K100" s="7"/>
      <c r="L100" s="7"/>
      <c r="M100" s="7" t="str">
        <f t="shared" ca="1" si="2"/>
        <v/>
      </c>
    </row>
    <row r="101" spans="1:13" ht="14.25" customHeight="1" x14ac:dyDescent="0.3">
      <c r="A101" s="7"/>
      <c r="B101" s="7"/>
      <c r="C101" s="7"/>
      <c r="D101" s="7"/>
      <c r="E101" s="7"/>
      <c r="F101" s="8"/>
      <c r="G101" s="8"/>
      <c r="H101" s="7"/>
      <c r="I101" s="9"/>
      <c r="J101" s="7"/>
      <c r="K101" s="7"/>
      <c r="L101" s="7"/>
      <c r="M101" s="7" t="str">
        <f t="shared" ca="1" si="2"/>
        <v/>
      </c>
    </row>
  </sheetData>
  <mergeCells count="1">
    <mergeCell ref="A1:M1"/>
  </mergeCells>
  <conditionalFormatting sqref="H3:H101">
    <cfRule type="expression" dxfId="11" priority="2">
      <formula>H3="Completed"</formula>
    </cfRule>
    <cfRule type="expression" dxfId="10" priority="3">
      <formula>H3="In Progress"</formula>
    </cfRule>
    <cfRule type="expression" dxfId="9" priority="4">
      <formula>H3="Delayed"</formula>
    </cfRule>
    <cfRule type="expression" dxfId="8" priority="5">
      <formula>H3="Blocked"</formula>
    </cfRule>
  </conditionalFormatting>
  <conditionalFormatting sqref="I3:I101">
    <cfRule type="dataBar" priority="7">
      <dataBar>
        <cfvo type="min"/>
        <cfvo type="max"/>
        <color rgb="FF1F5A94"/>
      </dataBar>
      <extLst>
        <ext xmlns:x14="http://schemas.microsoft.com/office/spreadsheetml/2009/9/main" uri="{B025F937-C7B1-47D3-B67F-A62EFF666E3E}">
          <x14:id>{683D2BD0-581F-4BD0-84D9-7CDD40F374E7}</x14:id>
        </ext>
      </extLst>
    </cfRule>
    <cfRule type="dataBar" priority="8">
      <dataBar>
        <cfvo type="min"/>
        <cfvo type="max"/>
        <color rgb="FF1F5A94"/>
      </dataBar>
      <extLst>
        <ext xmlns:x14="http://schemas.microsoft.com/office/spreadsheetml/2009/9/main" uri="{B025F937-C7B1-47D3-B67F-A62EFF666E3E}">
          <x14:id>{7E13EE10-C056-4F68-8D68-E0CC73D09A1F}</x14:id>
        </ext>
      </extLst>
    </cfRule>
  </conditionalFormatting>
  <conditionalFormatting sqref="M3:M101">
    <cfRule type="expression" dxfId="7" priority="6">
      <formula>M3="Overdue"</formula>
    </cfRule>
  </conditionalFormatting>
  <dataValidations count="4">
    <dataValidation type="list" sqref="B3:B101" xr:uid="{00000000-0002-0000-0200-000000000000}">
      <formula1>"Unit 1 / Phase 1,Phase 2,Phase 3,Final"</formula1>
      <formula2>0</formula2>
    </dataValidation>
    <dataValidation type="list" sqref="H3:H101" xr:uid="{00000000-0002-0000-0200-000001000000}">
      <formula1>"Not Started,In Progress,Completed,Delayed,Blocked"</formula1>
      <formula2>0</formula2>
    </dataValidation>
    <dataValidation type="list" sqref="I3:I101" xr:uid="{00000000-0002-0000-0200-000002000000}">
      <formula1>"0,25,50,75,100"</formula1>
      <formula2>0</formula2>
    </dataValidation>
    <dataValidation type="list" sqref="K3:K101" xr:uid="{00000000-0002-0000-0200-000003000000}">
      <formula1>"Yes,No"</formula1>
      <formula2>0</formula2>
    </dataValidation>
  </dataValidations>
  <hyperlinks>
    <hyperlink ref="J19" r:id="rId1" display="https://www.figma.com/proto/pG7mL3Oj2Rr37JAT9r7WJv/School-Parental-system?node-id=42-238&amp;p=f&amp;t=0WVSbhhXYOH6dG98-1&amp;scaling=scale-down&amp;content-scaling=fixed&amp;page-id=0%3A1&amp;starting-point-node-id=42%3A238" xr:uid="{F3702986-C9C7-4455-A822-D7B4B23FD77F}"/>
  </hyperlinks>
  <pageMargins left="0.7" right="0.7" top="0.75" bottom="0.75" header="0.511811023622047" footer="0.511811023622047"/>
  <pageSetup paperSize="9" orientation="portrait" horizontalDpi="300" verticalDpi="300"/>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83D2BD0-581F-4BD0-84D9-7CDD40F374E7}">
            <x14:dataBar axisPosition="none">
              <x14:cfvo type="min"/>
              <x14:cfvo type="max"/>
              <x14:negativeFillColor rgb="FF1F5A94"/>
            </x14:dataBar>
          </x14:cfRule>
          <x14:cfRule type="dataBar" id="{7E13EE10-C056-4F68-8D68-E0CC73D09A1F}">
            <x14:dataBar axisPosition="none">
              <x14:cfvo type="min"/>
              <x14:cfvo type="max"/>
              <x14:negativeFillColor rgb="FF1F5A94"/>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opLeftCell="E1" zoomScale="124" zoomScaleNormal="100" workbookViewId="0">
      <selection activeCell="I15" sqref="I15"/>
    </sheetView>
  </sheetViews>
  <sheetFormatPr defaultColWidth="8.77734375" defaultRowHeight="14.4" x14ac:dyDescent="0.3"/>
  <cols>
    <col min="1" max="1" width="24" customWidth="1"/>
    <col min="2" max="2" width="16" customWidth="1"/>
    <col min="3" max="3" width="19" customWidth="1"/>
    <col min="4" max="4" width="14.88671875" customWidth="1"/>
    <col min="5" max="5" width="32" customWidth="1"/>
    <col min="6" max="6" width="37.88671875" customWidth="1"/>
    <col min="7" max="7" width="14" customWidth="1"/>
    <col min="8" max="8" width="12" customWidth="1"/>
    <col min="9" max="9" width="34" customWidth="1"/>
    <col min="10" max="10" width="16" customWidth="1"/>
    <col min="11" max="11" width="14" customWidth="1"/>
    <col min="12" max="12" width="28" customWidth="1"/>
  </cols>
  <sheetData>
    <row r="1" spans="1:12" ht="19.5" customHeight="1" x14ac:dyDescent="0.3">
      <c r="A1" s="12" t="s">
        <v>140</v>
      </c>
      <c r="B1" s="12"/>
      <c r="C1" s="12"/>
      <c r="D1" s="12"/>
      <c r="E1" s="12"/>
      <c r="F1" s="12"/>
      <c r="G1" s="12"/>
      <c r="H1" s="12"/>
      <c r="I1" s="12"/>
      <c r="J1" s="12"/>
      <c r="K1" s="12"/>
      <c r="L1" s="12"/>
    </row>
    <row r="2" spans="1:12" ht="27.75" customHeight="1" x14ac:dyDescent="0.3">
      <c r="A2" s="1" t="s">
        <v>141</v>
      </c>
      <c r="B2" s="1" t="s">
        <v>142</v>
      </c>
      <c r="C2" s="1" t="s">
        <v>72</v>
      </c>
      <c r="D2" s="1" t="s">
        <v>73</v>
      </c>
      <c r="E2" s="1" t="s">
        <v>143</v>
      </c>
      <c r="F2" s="1" t="s">
        <v>144</v>
      </c>
      <c r="G2" s="1" t="s">
        <v>145</v>
      </c>
      <c r="H2" s="1" t="s">
        <v>146</v>
      </c>
      <c r="I2" s="1" t="s">
        <v>80</v>
      </c>
      <c r="J2" s="1" t="s">
        <v>81</v>
      </c>
      <c r="K2" s="1" t="s">
        <v>147</v>
      </c>
      <c r="L2" s="1" t="s">
        <v>148</v>
      </c>
    </row>
    <row r="3" spans="1:12" ht="14.25" customHeight="1" x14ac:dyDescent="0.3">
      <c r="A3" s="7" t="s">
        <v>234</v>
      </c>
      <c r="B3" s="7">
        <v>223046876</v>
      </c>
      <c r="C3" s="7" t="s">
        <v>34</v>
      </c>
      <c r="D3" s="7" t="s">
        <v>138</v>
      </c>
      <c r="E3" s="7" t="s">
        <v>240</v>
      </c>
      <c r="F3" s="7" t="s">
        <v>247</v>
      </c>
      <c r="G3" s="8" t="s">
        <v>246</v>
      </c>
      <c r="H3" s="10">
        <v>130</v>
      </c>
      <c r="I3" s="11" t="s">
        <v>225</v>
      </c>
      <c r="J3" s="7" t="s">
        <v>89</v>
      </c>
      <c r="K3" s="8" t="s">
        <v>246</v>
      </c>
      <c r="L3" s="7"/>
    </row>
    <row r="4" spans="1:12" ht="14.25" customHeight="1" x14ac:dyDescent="0.3">
      <c r="A4" s="7" t="s">
        <v>235</v>
      </c>
      <c r="B4" s="7">
        <v>223000460</v>
      </c>
      <c r="C4" s="7" t="s">
        <v>34</v>
      </c>
      <c r="D4" s="7" t="s">
        <v>138</v>
      </c>
      <c r="E4" s="7" t="s">
        <v>241</v>
      </c>
      <c r="F4" s="7" t="s">
        <v>248</v>
      </c>
      <c r="G4" s="8" t="s">
        <v>246</v>
      </c>
      <c r="H4" s="10">
        <v>132</v>
      </c>
      <c r="I4" s="11" t="s">
        <v>259</v>
      </c>
      <c r="J4" s="7" t="s">
        <v>89</v>
      </c>
      <c r="K4" s="8" t="s">
        <v>246</v>
      </c>
      <c r="L4" s="7"/>
    </row>
    <row r="5" spans="1:12" ht="14.25" customHeight="1" x14ac:dyDescent="0.3">
      <c r="A5" s="7" t="s">
        <v>236</v>
      </c>
      <c r="B5" s="7">
        <v>224000274</v>
      </c>
      <c r="C5" s="7" t="s">
        <v>34</v>
      </c>
      <c r="D5" s="7" t="s">
        <v>134</v>
      </c>
      <c r="E5" s="7" t="s">
        <v>242</v>
      </c>
      <c r="F5" s="7" t="s">
        <v>249</v>
      </c>
      <c r="G5" s="8" t="s">
        <v>246</v>
      </c>
      <c r="H5" s="10">
        <v>62</v>
      </c>
      <c r="I5" s="7"/>
      <c r="J5" s="7" t="s">
        <v>89</v>
      </c>
      <c r="K5" s="8" t="s">
        <v>246</v>
      </c>
      <c r="L5" s="7"/>
    </row>
    <row r="6" spans="1:12" ht="14.25" customHeight="1" x14ac:dyDescent="0.3">
      <c r="A6" s="7" t="s">
        <v>237</v>
      </c>
      <c r="B6" s="7">
        <v>223050336</v>
      </c>
      <c r="C6" s="7" t="s">
        <v>34</v>
      </c>
      <c r="D6" s="7" t="s">
        <v>130</v>
      </c>
      <c r="E6" s="7" t="s">
        <v>243</v>
      </c>
      <c r="F6" s="7" t="s">
        <v>250</v>
      </c>
      <c r="G6" s="8" t="s">
        <v>246</v>
      </c>
      <c r="H6" s="10">
        <v>60</v>
      </c>
      <c r="I6" s="11" t="s">
        <v>258</v>
      </c>
      <c r="J6" s="7" t="s">
        <v>89</v>
      </c>
      <c r="K6" s="8" t="s">
        <v>246</v>
      </c>
      <c r="L6" s="7"/>
    </row>
    <row r="7" spans="1:12" ht="14.25" customHeight="1" x14ac:dyDescent="0.3">
      <c r="A7" s="7" t="s">
        <v>238</v>
      </c>
      <c r="B7" s="7">
        <v>224027806</v>
      </c>
      <c r="C7" s="7" t="s">
        <v>34</v>
      </c>
      <c r="D7" s="7" t="s">
        <v>134</v>
      </c>
      <c r="E7" s="7" t="s">
        <v>244</v>
      </c>
      <c r="F7" s="7" t="s">
        <v>251</v>
      </c>
      <c r="G7" s="8" t="s">
        <v>246</v>
      </c>
      <c r="H7" s="10">
        <v>55</v>
      </c>
      <c r="I7" s="7"/>
      <c r="J7" s="7" t="s">
        <v>89</v>
      </c>
      <c r="K7" s="8" t="s">
        <v>246</v>
      </c>
      <c r="L7" s="7"/>
    </row>
    <row r="8" spans="1:12" ht="14.25" customHeight="1" x14ac:dyDescent="0.3">
      <c r="A8" s="7" t="s">
        <v>239</v>
      </c>
      <c r="B8" s="7">
        <v>222023335</v>
      </c>
      <c r="C8" s="7" t="s">
        <v>34</v>
      </c>
      <c r="D8" s="7" t="s">
        <v>134</v>
      </c>
      <c r="E8" s="7" t="s">
        <v>245</v>
      </c>
      <c r="F8" s="7" t="s">
        <v>252</v>
      </c>
      <c r="G8" s="8" t="s">
        <v>246</v>
      </c>
      <c r="H8" s="10">
        <v>53</v>
      </c>
      <c r="I8" s="7" t="s">
        <v>260</v>
      </c>
      <c r="J8" s="7" t="s">
        <v>89</v>
      </c>
      <c r="K8" s="8" t="s">
        <v>246</v>
      </c>
      <c r="L8" s="7"/>
    </row>
    <row r="9" spans="1:12" ht="14.25" customHeight="1" x14ac:dyDescent="0.3">
      <c r="A9" s="7"/>
      <c r="B9" s="7"/>
      <c r="C9" s="7"/>
      <c r="D9" s="7"/>
      <c r="E9" s="7"/>
      <c r="F9" s="7"/>
      <c r="G9" s="8"/>
      <c r="H9" s="10"/>
      <c r="I9" s="7"/>
      <c r="J9" s="7"/>
      <c r="K9" s="8"/>
      <c r="L9" s="7"/>
    </row>
    <row r="10" spans="1:12" ht="14.25" customHeight="1" x14ac:dyDescent="0.3">
      <c r="A10" s="7" t="s">
        <v>234</v>
      </c>
      <c r="B10" s="7">
        <v>223046876</v>
      </c>
      <c r="C10" s="7" t="s">
        <v>36</v>
      </c>
      <c r="D10" s="7" t="s">
        <v>331</v>
      </c>
      <c r="E10" s="7" t="s">
        <v>318</v>
      </c>
      <c r="F10" s="7" t="s">
        <v>322</v>
      </c>
      <c r="G10" s="8" t="s">
        <v>321</v>
      </c>
      <c r="H10" s="10">
        <v>90</v>
      </c>
      <c r="I10" s="7" t="s">
        <v>330</v>
      </c>
      <c r="J10" s="7" t="s">
        <v>89</v>
      </c>
      <c r="K10" s="8"/>
      <c r="L10" s="7"/>
    </row>
    <row r="11" spans="1:12" ht="14.25" customHeight="1" x14ac:dyDescent="0.3">
      <c r="A11" s="7" t="s">
        <v>235</v>
      </c>
      <c r="B11" s="7">
        <v>223000460</v>
      </c>
      <c r="C11" s="7" t="s">
        <v>36</v>
      </c>
      <c r="D11" s="7" t="s">
        <v>332</v>
      </c>
      <c r="E11" s="7" t="s">
        <v>319</v>
      </c>
      <c r="F11" s="7" t="s">
        <v>323</v>
      </c>
      <c r="G11" s="8" t="s">
        <v>321</v>
      </c>
      <c r="H11" s="10">
        <v>150</v>
      </c>
      <c r="I11" s="7" t="s">
        <v>330</v>
      </c>
      <c r="J11" s="7" t="s">
        <v>89</v>
      </c>
      <c r="K11" s="8"/>
      <c r="L11" s="7"/>
    </row>
    <row r="12" spans="1:12" ht="14.25" customHeight="1" x14ac:dyDescent="0.3">
      <c r="A12" s="7" t="s">
        <v>236</v>
      </c>
      <c r="B12" s="7">
        <v>224000274</v>
      </c>
      <c r="C12" s="7" t="s">
        <v>36</v>
      </c>
      <c r="D12" s="7" t="s">
        <v>332</v>
      </c>
      <c r="E12" s="7" t="s">
        <v>319</v>
      </c>
      <c r="F12" s="7" t="s">
        <v>323</v>
      </c>
      <c r="G12" s="8" t="s">
        <v>321</v>
      </c>
      <c r="H12" s="10">
        <v>150</v>
      </c>
      <c r="I12" s="7" t="s">
        <v>330</v>
      </c>
      <c r="J12" s="7" t="s">
        <v>89</v>
      </c>
      <c r="K12" s="8"/>
      <c r="L12" s="7"/>
    </row>
    <row r="13" spans="1:12" ht="14.25" customHeight="1" x14ac:dyDescent="0.3">
      <c r="A13" s="7" t="s">
        <v>237</v>
      </c>
      <c r="B13" s="7">
        <v>223050336</v>
      </c>
      <c r="C13" s="7" t="s">
        <v>36</v>
      </c>
      <c r="D13" s="7" t="s">
        <v>331</v>
      </c>
      <c r="E13" s="7" t="s">
        <v>320</v>
      </c>
      <c r="F13" s="7" t="s">
        <v>322</v>
      </c>
      <c r="G13" s="8" t="s">
        <v>321</v>
      </c>
      <c r="H13" s="10">
        <v>83</v>
      </c>
      <c r="I13" s="7" t="s">
        <v>330</v>
      </c>
      <c r="J13" s="7" t="s">
        <v>89</v>
      </c>
      <c r="K13" s="8"/>
      <c r="L13" s="7"/>
    </row>
    <row r="14" spans="1:12" ht="14.25" customHeight="1" x14ac:dyDescent="0.3">
      <c r="A14" s="7" t="s">
        <v>238</v>
      </c>
      <c r="B14" s="7">
        <v>224027806</v>
      </c>
      <c r="C14" s="7" t="s">
        <v>36</v>
      </c>
      <c r="D14" s="7" t="s">
        <v>332</v>
      </c>
      <c r="E14" s="7" t="s">
        <v>319</v>
      </c>
      <c r="F14" s="7" t="s">
        <v>323</v>
      </c>
      <c r="G14" s="8" t="s">
        <v>321</v>
      </c>
      <c r="H14" s="10">
        <v>79</v>
      </c>
      <c r="I14" s="7" t="s">
        <v>330</v>
      </c>
      <c r="J14" s="7" t="s">
        <v>89</v>
      </c>
      <c r="K14" s="8"/>
      <c r="L14" s="7"/>
    </row>
    <row r="15" spans="1:12" ht="14.25" customHeight="1" x14ac:dyDescent="0.3">
      <c r="A15" s="7" t="s">
        <v>239</v>
      </c>
      <c r="B15" s="7">
        <v>222023335</v>
      </c>
      <c r="C15" s="7" t="s">
        <v>36</v>
      </c>
      <c r="D15" s="7" t="s">
        <v>331</v>
      </c>
      <c r="E15" s="7" t="s">
        <v>320</v>
      </c>
      <c r="F15" s="7" t="s">
        <v>322</v>
      </c>
      <c r="G15" s="8" t="s">
        <v>321</v>
      </c>
      <c r="H15" s="10">
        <v>81</v>
      </c>
      <c r="I15" s="7" t="s">
        <v>330</v>
      </c>
      <c r="J15" s="7" t="s">
        <v>89</v>
      </c>
      <c r="K15" s="8"/>
      <c r="L15" s="7"/>
    </row>
    <row r="16" spans="1:12" ht="14.25" customHeight="1" x14ac:dyDescent="0.3">
      <c r="A16" s="7"/>
      <c r="B16" s="7"/>
      <c r="C16" s="7"/>
      <c r="D16" s="7"/>
      <c r="E16" s="7"/>
      <c r="F16" s="7"/>
      <c r="G16" s="8"/>
      <c r="H16" s="10"/>
      <c r="I16" s="7"/>
      <c r="J16" s="7"/>
      <c r="K16" s="8"/>
      <c r="L16" s="7"/>
    </row>
    <row r="17" spans="1:12" ht="14.25" customHeight="1" x14ac:dyDescent="0.3">
      <c r="A17" s="7"/>
      <c r="B17" s="7"/>
      <c r="C17" s="7"/>
      <c r="D17" s="7"/>
      <c r="E17" s="7"/>
      <c r="F17" s="7"/>
      <c r="G17" s="8"/>
      <c r="H17" s="10"/>
      <c r="I17" s="7"/>
      <c r="J17" s="7"/>
      <c r="K17" s="8"/>
      <c r="L17" s="7"/>
    </row>
    <row r="18" spans="1:12" ht="14.25" customHeight="1" x14ac:dyDescent="0.3">
      <c r="A18" s="7"/>
      <c r="B18" s="7"/>
      <c r="C18" s="7"/>
      <c r="D18" s="7"/>
      <c r="E18" s="7"/>
      <c r="F18" s="7"/>
      <c r="G18" s="8"/>
      <c r="H18" s="10"/>
      <c r="I18" s="7"/>
      <c r="J18" s="7"/>
      <c r="K18" s="8"/>
      <c r="L18" s="7"/>
    </row>
    <row r="19" spans="1:12" ht="14.25" customHeight="1" x14ac:dyDescent="0.3">
      <c r="A19" s="7"/>
      <c r="B19" s="7"/>
      <c r="C19" s="7"/>
      <c r="D19" s="7"/>
      <c r="E19" s="7"/>
      <c r="F19" s="7"/>
      <c r="G19" s="8"/>
      <c r="H19" s="10"/>
      <c r="I19" s="7"/>
      <c r="J19" s="7"/>
      <c r="K19" s="8"/>
      <c r="L19" s="7"/>
    </row>
    <row r="20" spans="1:12" ht="14.25" customHeight="1" x14ac:dyDescent="0.3">
      <c r="A20" s="7"/>
      <c r="B20" s="7"/>
      <c r="C20" s="7"/>
      <c r="D20" s="7"/>
      <c r="E20" s="7"/>
      <c r="F20" s="7"/>
      <c r="G20" s="8"/>
      <c r="H20" s="10"/>
      <c r="I20" s="7"/>
      <c r="J20" s="7"/>
      <c r="K20" s="8"/>
      <c r="L20" s="7"/>
    </row>
    <row r="21" spans="1:12" ht="14.25" customHeight="1" x14ac:dyDescent="0.3">
      <c r="A21" s="7"/>
      <c r="B21" s="7"/>
      <c r="C21" s="7"/>
      <c r="D21" s="7"/>
      <c r="E21" s="7"/>
      <c r="F21" s="7"/>
      <c r="G21" s="8"/>
      <c r="H21" s="10"/>
      <c r="I21" s="7"/>
      <c r="J21" s="7"/>
      <c r="K21" s="8"/>
      <c r="L21" s="7"/>
    </row>
    <row r="22" spans="1:12" ht="14.25" customHeight="1" x14ac:dyDescent="0.3">
      <c r="A22" s="7"/>
      <c r="B22" s="7"/>
      <c r="C22" s="7"/>
      <c r="D22" s="7"/>
      <c r="E22" s="7"/>
      <c r="F22" s="7"/>
      <c r="G22" s="8"/>
      <c r="H22" s="10"/>
      <c r="I22" s="7"/>
      <c r="J22" s="7"/>
      <c r="K22" s="8"/>
      <c r="L22" s="7"/>
    </row>
    <row r="23" spans="1:12" ht="14.25" customHeight="1" x14ac:dyDescent="0.3">
      <c r="A23" s="7"/>
      <c r="B23" s="7"/>
      <c r="C23" s="7"/>
      <c r="D23" s="7"/>
      <c r="E23" s="7"/>
      <c r="F23" s="7"/>
      <c r="G23" s="8"/>
      <c r="H23" s="10"/>
      <c r="I23" s="7"/>
      <c r="J23" s="7"/>
      <c r="K23" s="8"/>
      <c r="L23" s="7"/>
    </row>
    <row r="24" spans="1:12" ht="14.25" customHeight="1" x14ac:dyDescent="0.3">
      <c r="A24" s="7"/>
      <c r="B24" s="7"/>
      <c r="C24" s="7"/>
      <c r="D24" s="7"/>
      <c r="E24" s="7"/>
      <c r="F24" s="7"/>
      <c r="G24" s="8"/>
      <c r="H24" s="10"/>
      <c r="I24" s="7"/>
      <c r="J24" s="7"/>
      <c r="K24" s="8"/>
      <c r="L24" s="7"/>
    </row>
    <row r="25" spans="1:12" ht="14.25" customHeight="1" x14ac:dyDescent="0.3">
      <c r="A25" s="7"/>
      <c r="B25" s="7"/>
      <c r="C25" s="7"/>
      <c r="D25" s="7"/>
      <c r="E25" s="7"/>
      <c r="F25" s="7"/>
      <c r="G25" s="8"/>
      <c r="H25" s="10"/>
      <c r="I25" s="7"/>
      <c r="J25" s="7"/>
      <c r="K25" s="8"/>
      <c r="L25" s="7"/>
    </row>
    <row r="26" spans="1:12" ht="14.25" customHeight="1" x14ac:dyDescent="0.3">
      <c r="A26" s="7"/>
      <c r="B26" s="7"/>
      <c r="C26" s="7"/>
      <c r="D26" s="7"/>
      <c r="E26" s="7"/>
      <c r="F26" s="7"/>
      <c r="G26" s="8"/>
      <c r="H26" s="10"/>
      <c r="I26" s="7"/>
      <c r="J26" s="7"/>
      <c r="K26" s="8"/>
      <c r="L26" s="7"/>
    </row>
    <row r="27" spans="1:12" ht="14.25" customHeight="1" x14ac:dyDescent="0.3">
      <c r="A27" s="7"/>
      <c r="B27" s="7"/>
      <c r="C27" s="7"/>
      <c r="D27" s="7"/>
      <c r="E27" s="7"/>
      <c r="F27" s="7"/>
      <c r="G27" s="8"/>
      <c r="H27" s="10"/>
      <c r="I27" s="7"/>
      <c r="J27" s="7"/>
      <c r="K27" s="8"/>
      <c r="L27" s="7"/>
    </row>
    <row r="28" spans="1:12" ht="14.25" customHeight="1" x14ac:dyDescent="0.3">
      <c r="A28" s="7"/>
      <c r="B28" s="7"/>
      <c r="C28" s="7"/>
      <c r="D28" s="7"/>
      <c r="E28" s="7"/>
      <c r="F28" s="7"/>
      <c r="G28" s="8"/>
      <c r="H28" s="10"/>
      <c r="I28" s="7"/>
      <c r="J28" s="7"/>
      <c r="K28" s="8"/>
      <c r="L28" s="7"/>
    </row>
    <row r="29" spans="1:12" ht="14.25" customHeight="1" x14ac:dyDescent="0.3">
      <c r="A29" s="7"/>
      <c r="B29" s="7"/>
      <c r="C29" s="7"/>
      <c r="D29" s="7"/>
      <c r="E29" s="7"/>
      <c r="F29" s="7"/>
      <c r="G29" s="8"/>
      <c r="H29" s="10"/>
      <c r="I29" s="7"/>
      <c r="J29" s="7"/>
      <c r="K29" s="8"/>
      <c r="L29" s="7"/>
    </row>
    <row r="30" spans="1:12" ht="14.25" customHeight="1" x14ac:dyDescent="0.3">
      <c r="A30" s="7"/>
      <c r="B30" s="7"/>
      <c r="C30" s="7"/>
      <c r="D30" s="7"/>
      <c r="E30" s="7"/>
      <c r="F30" s="7"/>
      <c r="G30" s="8"/>
      <c r="H30" s="10"/>
      <c r="I30" s="7"/>
      <c r="J30" s="7"/>
      <c r="K30" s="8"/>
      <c r="L30" s="7"/>
    </row>
    <row r="31" spans="1:12" ht="14.25" customHeight="1" x14ac:dyDescent="0.3">
      <c r="A31" s="7"/>
      <c r="B31" s="7"/>
      <c r="C31" s="7"/>
      <c r="D31" s="7"/>
      <c r="E31" s="7"/>
      <c r="F31" s="7"/>
      <c r="G31" s="8"/>
      <c r="H31" s="10"/>
      <c r="I31" s="7"/>
      <c r="J31" s="7"/>
      <c r="K31" s="8"/>
      <c r="L31" s="7"/>
    </row>
    <row r="32" spans="1:12" ht="14.25" customHeight="1" x14ac:dyDescent="0.3">
      <c r="A32" s="7"/>
      <c r="B32" s="7"/>
      <c r="C32" s="7"/>
      <c r="D32" s="7"/>
      <c r="E32" s="7"/>
      <c r="F32" s="7"/>
      <c r="G32" s="8"/>
      <c r="H32" s="10"/>
      <c r="I32" s="7"/>
      <c r="J32" s="7"/>
      <c r="K32" s="8"/>
      <c r="L32" s="7"/>
    </row>
    <row r="33" spans="1:12" ht="14.25" customHeight="1" x14ac:dyDescent="0.3">
      <c r="A33" s="7"/>
      <c r="B33" s="7"/>
      <c r="C33" s="7"/>
      <c r="D33" s="7"/>
      <c r="E33" s="7"/>
      <c r="F33" s="7"/>
      <c r="G33" s="8"/>
      <c r="H33" s="10"/>
      <c r="I33" s="7"/>
      <c r="J33" s="7"/>
      <c r="K33" s="8"/>
      <c r="L33" s="7"/>
    </row>
    <row r="34" spans="1:12" ht="14.25" customHeight="1" x14ac:dyDescent="0.3">
      <c r="A34" s="7"/>
      <c r="B34" s="7"/>
      <c r="C34" s="7"/>
      <c r="D34" s="7"/>
      <c r="E34" s="7"/>
      <c r="F34" s="7"/>
      <c r="G34" s="8"/>
      <c r="H34" s="10"/>
      <c r="I34" s="7"/>
      <c r="J34" s="7"/>
      <c r="K34" s="8"/>
      <c r="L34" s="7"/>
    </row>
    <row r="35" spans="1:12" ht="14.25" customHeight="1" x14ac:dyDescent="0.3">
      <c r="A35" s="7"/>
      <c r="B35" s="7"/>
      <c r="C35" s="7"/>
      <c r="D35" s="7"/>
      <c r="E35" s="7"/>
      <c r="F35" s="7"/>
      <c r="G35" s="8"/>
      <c r="H35" s="10"/>
      <c r="I35" s="7"/>
      <c r="J35" s="7"/>
      <c r="K35" s="8"/>
      <c r="L35" s="7"/>
    </row>
    <row r="36" spans="1:12" ht="14.25" customHeight="1" x14ac:dyDescent="0.3">
      <c r="A36" s="7"/>
      <c r="B36" s="7"/>
      <c r="C36" s="7"/>
      <c r="D36" s="7"/>
      <c r="E36" s="7"/>
      <c r="F36" s="7"/>
      <c r="G36" s="8"/>
      <c r="H36" s="10"/>
      <c r="I36" s="7"/>
      <c r="J36" s="7"/>
      <c r="K36" s="8"/>
      <c r="L36" s="7"/>
    </row>
    <row r="37" spans="1:12" ht="14.25" customHeight="1" x14ac:dyDescent="0.3">
      <c r="A37" s="7"/>
      <c r="B37" s="7"/>
      <c r="C37" s="7"/>
      <c r="D37" s="7"/>
      <c r="E37" s="7"/>
      <c r="F37" s="7"/>
      <c r="G37" s="8"/>
      <c r="H37" s="10"/>
      <c r="I37" s="7"/>
      <c r="J37" s="7"/>
      <c r="K37" s="8"/>
      <c r="L37" s="7"/>
    </row>
    <row r="38" spans="1:12" ht="14.25" customHeight="1" x14ac:dyDescent="0.3">
      <c r="A38" s="7"/>
      <c r="B38" s="7"/>
      <c r="C38" s="7"/>
      <c r="D38" s="7"/>
      <c r="E38" s="7"/>
      <c r="F38" s="7"/>
      <c r="G38" s="8"/>
      <c r="H38" s="10"/>
      <c r="I38" s="7"/>
      <c r="J38" s="7"/>
      <c r="K38" s="8"/>
      <c r="L38" s="7"/>
    </row>
    <row r="39" spans="1:12" ht="14.25" customHeight="1" x14ac:dyDescent="0.3">
      <c r="A39" s="7"/>
      <c r="B39" s="7"/>
      <c r="C39" s="7"/>
      <c r="D39" s="7"/>
      <c r="E39" s="7"/>
      <c r="F39" s="7"/>
      <c r="G39" s="8"/>
      <c r="H39" s="10"/>
      <c r="I39" s="7"/>
      <c r="J39" s="7"/>
      <c r="K39" s="8"/>
      <c r="L39" s="7"/>
    </row>
    <row r="40" spans="1:12" ht="14.25" customHeight="1" x14ac:dyDescent="0.3">
      <c r="A40" s="7"/>
      <c r="B40" s="7"/>
      <c r="C40" s="7"/>
      <c r="D40" s="7"/>
      <c r="E40" s="7"/>
      <c r="F40" s="7"/>
      <c r="G40" s="8"/>
      <c r="H40" s="10"/>
      <c r="I40" s="7"/>
      <c r="J40" s="7"/>
      <c r="K40" s="8"/>
      <c r="L40" s="7"/>
    </row>
    <row r="41" spans="1:12" ht="14.25" customHeight="1" x14ac:dyDescent="0.3">
      <c r="A41" s="7"/>
      <c r="B41" s="7"/>
      <c r="C41" s="7"/>
      <c r="D41" s="7"/>
      <c r="E41" s="7"/>
      <c r="F41" s="7"/>
      <c r="G41" s="8"/>
      <c r="H41" s="10"/>
      <c r="I41" s="7"/>
      <c r="J41" s="7"/>
      <c r="K41" s="8"/>
      <c r="L41" s="7"/>
    </row>
    <row r="42" spans="1:12" ht="14.25" customHeight="1" x14ac:dyDescent="0.3">
      <c r="A42" s="7"/>
      <c r="B42" s="7"/>
      <c r="C42" s="7"/>
      <c r="D42" s="7"/>
      <c r="E42" s="7"/>
      <c r="F42" s="7"/>
      <c r="G42" s="8"/>
      <c r="H42" s="10"/>
      <c r="I42" s="7"/>
      <c r="J42" s="7"/>
      <c r="K42" s="8"/>
      <c r="L42" s="7"/>
    </row>
    <row r="43" spans="1:12" ht="14.25" customHeight="1" x14ac:dyDescent="0.3">
      <c r="A43" s="7"/>
      <c r="B43" s="7"/>
      <c r="C43" s="7"/>
      <c r="D43" s="7"/>
      <c r="E43" s="7"/>
      <c r="F43" s="7"/>
      <c r="G43" s="8"/>
      <c r="H43" s="10"/>
      <c r="I43" s="7"/>
      <c r="J43" s="7"/>
      <c r="K43" s="8"/>
      <c r="L43" s="7"/>
    </row>
    <row r="44" spans="1:12" ht="14.25" customHeight="1" x14ac:dyDescent="0.3">
      <c r="A44" s="7"/>
      <c r="B44" s="7"/>
      <c r="C44" s="7"/>
      <c r="D44" s="7"/>
      <c r="E44" s="7"/>
      <c r="F44" s="7"/>
      <c r="G44" s="8"/>
      <c r="H44" s="10"/>
      <c r="I44" s="7"/>
      <c r="J44" s="7"/>
      <c r="K44" s="8"/>
      <c r="L44" s="7"/>
    </row>
    <row r="45" spans="1:12" ht="14.25" customHeight="1" x14ac:dyDescent="0.3">
      <c r="A45" s="7"/>
      <c r="B45" s="7"/>
      <c r="C45" s="7"/>
      <c r="D45" s="7"/>
      <c r="E45" s="7"/>
      <c r="F45" s="7"/>
      <c r="G45" s="8"/>
      <c r="H45" s="10"/>
      <c r="I45" s="7"/>
      <c r="J45" s="7"/>
      <c r="K45" s="8"/>
      <c r="L45" s="7"/>
    </row>
    <row r="46" spans="1:12" ht="14.25" customHeight="1" x14ac:dyDescent="0.3">
      <c r="A46" s="7"/>
      <c r="B46" s="7"/>
      <c r="C46" s="7"/>
      <c r="D46" s="7"/>
      <c r="E46" s="7"/>
      <c r="F46" s="7"/>
      <c r="G46" s="8"/>
      <c r="H46" s="10"/>
      <c r="I46" s="7"/>
      <c r="J46" s="7"/>
      <c r="K46" s="8"/>
      <c r="L46" s="7"/>
    </row>
    <row r="47" spans="1:12" ht="14.25" customHeight="1" x14ac:dyDescent="0.3">
      <c r="A47" s="7"/>
      <c r="B47" s="7"/>
      <c r="C47" s="7"/>
      <c r="D47" s="7"/>
      <c r="E47" s="7"/>
      <c r="F47" s="7"/>
      <c r="G47" s="8"/>
      <c r="H47" s="10"/>
      <c r="I47" s="7"/>
      <c r="J47" s="7"/>
      <c r="K47" s="8"/>
      <c r="L47" s="7"/>
    </row>
    <row r="48" spans="1:12" ht="14.25" customHeight="1" x14ac:dyDescent="0.3">
      <c r="A48" s="7"/>
      <c r="B48" s="7"/>
      <c r="C48" s="7"/>
      <c r="D48" s="7"/>
      <c r="E48" s="7"/>
      <c r="F48" s="7"/>
      <c r="G48" s="8"/>
      <c r="H48" s="10"/>
      <c r="I48" s="7"/>
      <c r="J48" s="7"/>
      <c r="K48" s="8"/>
      <c r="L48" s="7"/>
    </row>
    <row r="49" spans="1:12" ht="14.25" customHeight="1" x14ac:dyDescent="0.3">
      <c r="A49" s="7"/>
      <c r="B49" s="7"/>
      <c r="C49" s="7"/>
      <c r="D49" s="7"/>
      <c r="E49" s="7"/>
      <c r="F49" s="7"/>
      <c r="G49" s="8"/>
      <c r="H49" s="10"/>
      <c r="I49" s="7"/>
      <c r="J49" s="7"/>
      <c r="K49" s="8"/>
      <c r="L49" s="7"/>
    </row>
    <row r="50" spans="1:12" ht="14.25" customHeight="1" x14ac:dyDescent="0.3">
      <c r="A50" s="7"/>
      <c r="B50" s="7"/>
      <c r="C50" s="7"/>
      <c r="D50" s="7"/>
      <c r="E50" s="7"/>
      <c r="F50" s="7"/>
      <c r="G50" s="8"/>
      <c r="H50" s="10"/>
      <c r="I50" s="7"/>
      <c r="J50" s="7"/>
      <c r="K50" s="8"/>
      <c r="L50" s="7"/>
    </row>
    <row r="51" spans="1:12" ht="14.25" customHeight="1" x14ac:dyDescent="0.3">
      <c r="A51" s="7"/>
      <c r="B51" s="7"/>
      <c r="C51" s="7"/>
      <c r="D51" s="7"/>
      <c r="E51" s="7"/>
      <c r="F51" s="7"/>
      <c r="G51" s="8"/>
      <c r="H51" s="10"/>
      <c r="I51" s="7"/>
      <c r="J51" s="7"/>
      <c r="K51" s="8"/>
      <c r="L51" s="7"/>
    </row>
    <row r="52" spans="1:12" ht="14.25" customHeight="1" x14ac:dyDescent="0.3">
      <c r="A52" s="7"/>
      <c r="B52" s="7"/>
      <c r="C52" s="7"/>
      <c r="D52" s="7"/>
      <c r="E52" s="7"/>
      <c r="F52" s="7"/>
      <c r="G52" s="8"/>
      <c r="H52" s="10"/>
      <c r="I52" s="7"/>
      <c r="J52" s="7"/>
      <c r="K52" s="8"/>
      <c r="L52" s="7"/>
    </row>
    <row r="53" spans="1:12" ht="14.25" customHeight="1" x14ac:dyDescent="0.3">
      <c r="A53" s="7"/>
      <c r="B53" s="7"/>
      <c r="C53" s="7"/>
      <c r="D53" s="7"/>
      <c r="E53" s="7"/>
      <c r="F53" s="7"/>
      <c r="G53" s="8"/>
      <c r="H53" s="10"/>
      <c r="I53" s="7"/>
      <c r="J53" s="7"/>
      <c r="K53" s="8"/>
      <c r="L53" s="7"/>
    </row>
    <row r="54" spans="1:12" ht="14.25" customHeight="1" x14ac:dyDescent="0.3">
      <c r="A54" s="7"/>
      <c r="B54" s="7"/>
      <c r="C54" s="7"/>
      <c r="D54" s="7"/>
      <c r="E54" s="7"/>
      <c r="F54" s="7"/>
      <c r="G54" s="8"/>
      <c r="H54" s="10"/>
      <c r="I54" s="7"/>
      <c r="J54" s="7"/>
      <c r="K54" s="8"/>
      <c r="L54" s="7"/>
    </row>
    <row r="55" spans="1:12" ht="14.25" customHeight="1" x14ac:dyDescent="0.3">
      <c r="A55" s="7"/>
      <c r="B55" s="7"/>
      <c r="C55" s="7"/>
      <c r="D55" s="7"/>
      <c r="E55" s="7"/>
      <c r="F55" s="7"/>
      <c r="G55" s="8"/>
      <c r="H55" s="10"/>
      <c r="I55" s="7"/>
      <c r="J55" s="7"/>
      <c r="K55" s="8"/>
      <c r="L55" s="7"/>
    </row>
    <row r="56" spans="1:12" ht="14.25" customHeight="1" x14ac:dyDescent="0.3">
      <c r="A56" s="7"/>
      <c r="B56" s="7"/>
      <c r="C56" s="7"/>
      <c r="D56" s="7"/>
      <c r="E56" s="7"/>
      <c r="F56" s="7"/>
      <c r="G56" s="8"/>
      <c r="H56" s="10"/>
      <c r="I56" s="7"/>
      <c r="J56" s="7"/>
      <c r="K56" s="8"/>
      <c r="L56" s="7"/>
    </row>
    <row r="57" spans="1:12" ht="14.25" customHeight="1" x14ac:dyDescent="0.3">
      <c r="A57" s="7"/>
      <c r="B57" s="7"/>
      <c r="C57" s="7"/>
      <c r="D57" s="7"/>
      <c r="E57" s="7"/>
      <c r="F57" s="7"/>
      <c r="G57" s="8"/>
      <c r="H57" s="10"/>
      <c r="I57" s="7"/>
      <c r="J57" s="7"/>
      <c r="K57" s="8"/>
      <c r="L57" s="7"/>
    </row>
    <row r="58" spans="1:12" ht="14.25" customHeight="1" x14ac:dyDescent="0.3">
      <c r="A58" s="7"/>
      <c r="B58" s="7"/>
      <c r="C58" s="7"/>
      <c r="D58" s="7"/>
      <c r="E58" s="7"/>
      <c r="F58" s="7"/>
      <c r="G58" s="8"/>
      <c r="H58" s="10"/>
      <c r="I58" s="7"/>
      <c r="J58" s="7"/>
      <c r="K58" s="8"/>
      <c r="L58" s="7"/>
    </row>
    <row r="59" spans="1:12" ht="14.25" customHeight="1" x14ac:dyDescent="0.3">
      <c r="A59" s="7"/>
      <c r="B59" s="7"/>
      <c r="C59" s="7"/>
      <c r="D59" s="7"/>
      <c r="E59" s="7"/>
      <c r="F59" s="7"/>
      <c r="G59" s="8"/>
      <c r="H59" s="10"/>
      <c r="I59" s="7"/>
      <c r="J59" s="7"/>
      <c r="K59" s="8"/>
      <c r="L59" s="7"/>
    </row>
    <row r="60" spans="1:12" ht="14.25" customHeight="1" x14ac:dyDescent="0.3">
      <c r="A60" s="7"/>
      <c r="B60" s="7"/>
      <c r="C60" s="7"/>
      <c r="D60" s="7"/>
      <c r="E60" s="7"/>
      <c r="F60" s="7"/>
      <c r="G60" s="8"/>
      <c r="H60" s="10"/>
      <c r="I60" s="7"/>
      <c r="J60" s="7"/>
      <c r="K60" s="8"/>
      <c r="L60" s="7"/>
    </row>
    <row r="61" spans="1:12" ht="14.25" customHeight="1" x14ac:dyDescent="0.3">
      <c r="A61" s="7"/>
      <c r="B61" s="7"/>
      <c r="C61" s="7"/>
      <c r="D61" s="7"/>
      <c r="E61" s="7"/>
      <c r="F61" s="7"/>
      <c r="G61" s="8"/>
      <c r="H61" s="10"/>
      <c r="I61" s="7"/>
      <c r="J61" s="7"/>
      <c r="K61" s="8"/>
      <c r="L61" s="7"/>
    </row>
    <row r="62" spans="1:12" ht="14.25" customHeight="1" x14ac:dyDescent="0.3">
      <c r="A62" s="7"/>
      <c r="B62" s="7"/>
      <c r="C62" s="7"/>
      <c r="D62" s="7"/>
      <c r="E62" s="7"/>
      <c r="F62" s="7"/>
      <c r="G62" s="8"/>
      <c r="H62" s="10"/>
      <c r="I62" s="7"/>
      <c r="J62" s="7"/>
      <c r="K62" s="8"/>
      <c r="L62" s="7"/>
    </row>
    <row r="63" spans="1:12" ht="14.25" customHeight="1" x14ac:dyDescent="0.3">
      <c r="A63" s="7"/>
      <c r="B63" s="7"/>
      <c r="C63" s="7"/>
      <c r="D63" s="7"/>
      <c r="E63" s="7"/>
      <c r="F63" s="7"/>
      <c r="G63" s="8"/>
      <c r="H63" s="10"/>
      <c r="I63" s="7"/>
      <c r="J63" s="7"/>
      <c r="K63" s="8"/>
      <c r="L63" s="7"/>
    </row>
    <row r="64" spans="1:12" ht="14.25" customHeight="1" x14ac:dyDescent="0.3">
      <c r="A64" s="7"/>
      <c r="B64" s="7"/>
      <c r="C64" s="7"/>
      <c r="D64" s="7"/>
      <c r="E64" s="7"/>
      <c r="F64" s="7"/>
      <c r="G64" s="8"/>
      <c r="H64" s="10"/>
      <c r="I64" s="7"/>
      <c r="J64" s="7"/>
      <c r="K64" s="8"/>
      <c r="L64" s="7"/>
    </row>
    <row r="65" spans="1:12" ht="14.25" customHeight="1" x14ac:dyDescent="0.3">
      <c r="A65" s="7"/>
      <c r="B65" s="7"/>
      <c r="C65" s="7"/>
      <c r="D65" s="7"/>
      <c r="E65" s="7"/>
      <c r="F65" s="7"/>
      <c r="G65" s="8"/>
      <c r="H65" s="10"/>
      <c r="I65" s="7"/>
      <c r="J65" s="7"/>
      <c r="K65" s="8"/>
      <c r="L65" s="7"/>
    </row>
    <row r="66" spans="1:12" ht="14.25" customHeight="1" x14ac:dyDescent="0.3">
      <c r="A66" s="7"/>
      <c r="B66" s="7"/>
      <c r="C66" s="7"/>
      <c r="D66" s="7"/>
      <c r="E66" s="7"/>
      <c r="F66" s="7"/>
      <c r="G66" s="8"/>
      <c r="H66" s="10"/>
      <c r="I66" s="7"/>
      <c r="J66" s="7"/>
      <c r="K66" s="8"/>
      <c r="L66" s="7"/>
    </row>
    <row r="67" spans="1:12" ht="14.25" customHeight="1" x14ac:dyDescent="0.3">
      <c r="A67" s="7"/>
      <c r="B67" s="7"/>
      <c r="C67" s="7"/>
      <c r="D67" s="7"/>
      <c r="E67" s="7"/>
      <c r="F67" s="7"/>
      <c r="G67" s="8"/>
      <c r="H67" s="10"/>
      <c r="I67" s="7"/>
      <c r="J67" s="7"/>
      <c r="K67" s="8"/>
      <c r="L67" s="7"/>
    </row>
    <row r="68" spans="1:12" ht="14.25" customHeight="1" x14ac:dyDescent="0.3">
      <c r="A68" s="7"/>
      <c r="B68" s="7"/>
      <c r="C68" s="7"/>
      <c r="D68" s="7"/>
      <c r="E68" s="7"/>
      <c r="F68" s="7"/>
      <c r="G68" s="8"/>
      <c r="H68" s="10"/>
      <c r="I68" s="7"/>
      <c r="J68" s="7"/>
      <c r="K68" s="8"/>
      <c r="L68" s="7"/>
    </row>
    <row r="69" spans="1:12" ht="14.25" customHeight="1" x14ac:dyDescent="0.3">
      <c r="A69" s="7"/>
      <c r="B69" s="7"/>
      <c r="C69" s="7"/>
      <c r="D69" s="7"/>
      <c r="E69" s="7"/>
      <c r="F69" s="7"/>
      <c r="G69" s="8"/>
      <c r="H69" s="10"/>
      <c r="I69" s="7"/>
      <c r="J69" s="7"/>
      <c r="K69" s="8"/>
      <c r="L69" s="7"/>
    </row>
    <row r="70" spans="1:12" ht="14.25" customHeight="1" x14ac:dyDescent="0.3">
      <c r="A70" s="7"/>
      <c r="B70" s="7"/>
      <c r="C70" s="7"/>
      <c r="D70" s="7"/>
      <c r="E70" s="7"/>
      <c r="F70" s="7"/>
      <c r="G70" s="8"/>
      <c r="H70" s="10"/>
      <c r="I70" s="7"/>
      <c r="J70" s="7"/>
      <c r="K70" s="8"/>
      <c r="L70" s="7"/>
    </row>
    <row r="71" spans="1:12" ht="14.25" customHeight="1" x14ac:dyDescent="0.3">
      <c r="A71" s="7"/>
      <c r="B71" s="7"/>
      <c r="C71" s="7"/>
      <c r="D71" s="7"/>
      <c r="E71" s="7"/>
      <c r="F71" s="7"/>
      <c r="G71" s="8"/>
      <c r="H71" s="10"/>
      <c r="I71" s="7"/>
      <c r="J71" s="7"/>
      <c r="K71" s="8"/>
      <c r="L71" s="7"/>
    </row>
    <row r="72" spans="1:12" ht="14.25" customHeight="1" x14ac:dyDescent="0.3">
      <c r="A72" s="7"/>
      <c r="B72" s="7"/>
      <c r="C72" s="7"/>
      <c r="D72" s="7"/>
      <c r="E72" s="7"/>
      <c r="F72" s="7"/>
      <c r="G72" s="8"/>
      <c r="H72" s="10"/>
      <c r="I72" s="7"/>
      <c r="J72" s="7"/>
      <c r="K72" s="8"/>
      <c r="L72" s="7"/>
    </row>
    <row r="73" spans="1:12" ht="14.25" customHeight="1" x14ac:dyDescent="0.3">
      <c r="A73" s="7"/>
      <c r="B73" s="7"/>
      <c r="C73" s="7"/>
      <c r="D73" s="7"/>
      <c r="E73" s="7"/>
      <c r="F73" s="7"/>
      <c r="G73" s="8"/>
      <c r="H73" s="10"/>
      <c r="I73" s="7"/>
      <c r="J73" s="7"/>
      <c r="K73" s="8"/>
      <c r="L73" s="7"/>
    </row>
    <row r="74" spans="1:12" ht="14.25" customHeight="1" x14ac:dyDescent="0.3">
      <c r="A74" s="7"/>
      <c r="B74" s="7"/>
      <c r="C74" s="7"/>
      <c r="D74" s="7"/>
      <c r="E74" s="7"/>
      <c r="F74" s="7"/>
      <c r="G74" s="8"/>
      <c r="H74" s="10"/>
      <c r="I74" s="7"/>
      <c r="J74" s="7"/>
      <c r="K74" s="8"/>
      <c r="L74" s="7"/>
    </row>
    <row r="75" spans="1:12" ht="14.25" customHeight="1" x14ac:dyDescent="0.3">
      <c r="A75" s="7"/>
      <c r="B75" s="7"/>
      <c r="C75" s="7"/>
      <c r="D75" s="7"/>
      <c r="E75" s="7"/>
      <c r="F75" s="7"/>
      <c r="G75" s="8"/>
      <c r="H75" s="10"/>
      <c r="I75" s="7"/>
      <c r="J75" s="7"/>
      <c r="K75" s="8"/>
      <c r="L75" s="7"/>
    </row>
    <row r="76" spans="1:12" ht="14.25" customHeight="1" x14ac:dyDescent="0.3">
      <c r="A76" s="7"/>
      <c r="B76" s="7"/>
      <c r="C76" s="7"/>
      <c r="D76" s="7"/>
      <c r="E76" s="7"/>
      <c r="F76" s="7"/>
      <c r="G76" s="8"/>
      <c r="H76" s="10"/>
      <c r="I76" s="7"/>
      <c r="J76" s="7"/>
      <c r="K76" s="8"/>
      <c r="L76" s="7"/>
    </row>
    <row r="77" spans="1:12" ht="14.25" customHeight="1" x14ac:dyDescent="0.3">
      <c r="A77" s="7"/>
      <c r="B77" s="7"/>
      <c r="C77" s="7"/>
      <c r="D77" s="7"/>
      <c r="E77" s="7"/>
      <c r="F77" s="7"/>
      <c r="G77" s="8"/>
      <c r="H77" s="10"/>
      <c r="I77" s="7"/>
      <c r="J77" s="7"/>
      <c r="K77" s="8"/>
      <c r="L77" s="7"/>
    </row>
    <row r="78" spans="1:12" ht="14.25" customHeight="1" x14ac:dyDescent="0.3">
      <c r="A78" s="7"/>
      <c r="B78" s="7"/>
      <c r="C78" s="7"/>
      <c r="D78" s="7"/>
      <c r="E78" s="7"/>
      <c r="F78" s="7"/>
      <c r="G78" s="8"/>
      <c r="H78" s="10"/>
      <c r="I78" s="7"/>
      <c r="J78" s="7"/>
      <c r="K78" s="8"/>
      <c r="L78" s="7"/>
    </row>
    <row r="79" spans="1:12" ht="14.25" customHeight="1" x14ac:dyDescent="0.3">
      <c r="A79" s="7"/>
      <c r="B79" s="7"/>
      <c r="C79" s="7"/>
      <c r="D79" s="7"/>
      <c r="E79" s="7"/>
      <c r="F79" s="7"/>
      <c r="G79" s="8"/>
      <c r="H79" s="10"/>
      <c r="I79" s="7"/>
      <c r="J79" s="7"/>
      <c r="K79" s="8"/>
      <c r="L79" s="7"/>
    </row>
    <row r="80" spans="1:12" ht="14.25" customHeight="1" x14ac:dyDescent="0.3">
      <c r="A80" s="7"/>
      <c r="B80" s="7"/>
      <c r="C80" s="7"/>
      <c r="D80" s="7"/>
      <c r="E80" s="7"/>
      <c r="F80" s="7"/>
      <c r="G80" s="8"/>
      <c r="H80" s="10"/>
      <c r="I80" s="7"/>
      <c r="J80" s="7"/>
      <c r="K80" s="8"/>
      <c r="L80" s="7"/>
    </row>
    <row r="81" spans="1:12" ht="14.25" customHeight="1" x14ac:dyDescent="0.3">
      <c r="A81" s="7"/>
      <c r="B81" s="7"/>
      <c r="C81" s="7"/>
      <c r="D81" s="7"/>
      <c r="E81" s="7"/>
      <c r="F81" s="7"/>
      <c r="G81" s="8"/>
      <c r="H81" s="10"/>
      <c r="I81" s="7"/>
      <c r="J81" s="7"/>
      <c r="K81" s="8"/>
      <c r="L81" s="7"/>
    </row>
    <row r="82" spans="1:12" ht="14.25" customHeight="1" x14ac:dyDescent="0.3">
      <c r="A82" s="7"/>
      <c r="B82" s="7"/>
      <c r="C82" s="7"/>
      <c r="D82" s="7"/>
      <c r="E82" s="7"/>
      <c r="F82" s="7"/>
      <c r="G82" s="8"/>
      <c r="H82" s="10"/>
      <c r="I82" s="7"/>
      <c r="J82" s="7"/>
      <c r="K82" s="8"/>
      <c r="L82" s="7"/>
    </row>
    <row r="83" spans="1:12" ht="14.25" customHeight="1" x14ac:dyDescent="0.3">
      <c r="A83" s="7"/>
      <c r="B83" s="7"/>
      <c r="C83" s="7"/>
      <c r="D83" s="7"/>
      <c r="E83" s="7"/>
      <c r="F83" s="7"/>
      <c r="G83" s="8"/>
      <c r="H83" s="10"/>
      <c r="I83" s="7"/>
      <c r="J83" s="7"/>
      <c r="K83" s="8"/>
      <c r="L83" s="7"/>
    </row>
    <row r="84" spans="1:12" ht="14.25" customHeight="1" x14ac:dyDescent="0.3">
      <c r="A84" s="7"/>
      <c r="B84" s="7"/>
      <c r="C84" s="7"/>
      <c r="D84" s="7"/>
      <c r="E84" s="7"/>
      <c r="F84" s="7"/>
      <c r="G84" s="8"/>
      <c r="H84" s="10"/>
      <c r="I84" s="7"/>
      <c r="J84" s="7"/>
      <c r="K84" s="8"/>
      <c r="L84" s="7"/>
    </row>
    <row r="85" spans="1:12" ht="14.25" customHeight="1" x14ac:dyDescent="0.3">
      <c r="A85" s="7"/>
      <c r="B85" s="7"/>
      <c r="C85" s="7"/>
      <c r="D85" s="7"/>
      <c r="E85" s="7"/>
      <c r="F85" s="7"/>
      <c r="G85" s="8"/>
      <c r="H85" s="10"/>
      <c r="I85" s="7"/>
      <c r="J85" s="7"/>
      <c r="K85" s="8"/>
      <c r="L85" s="7"/>
    </row>
    <row r="86" spans="1:12" ht="14.25" customHeight="1" x14ac:dyDescent="0.3">
      <c r="A86" s="7"/>
      <c r="B86" s="7"/>
      <c r="C86" s="7"/>
      <c r="D86" s="7"/>
      <c r="E86" s="7"/>
      <c r="F86" s="7"/>
      <c r="G86" s="8"/>
      <c r="H86" s="10"/>
      <c r="I86" s="7"/>
      <c r="J86" s="7"/>
      <c r="K86" s="8"/>
      <c r="L86" s="7"/>
    </row>
    <row r="87" spans="1:12" ht="14.25" customHeight="1" x14ac:dyDescent="0.3">
      <c r="A87" s="7"/>
      <c r="B87" s="7"/>
      <c r="C87" s="7"/>
      <c r="D87" s="7"/>
      <c r="E87" s="7"/>
      <c r="F87" s="7"/>
      <c r="G87" s="8"/>
      <c r="H87" s="10"/>
      <c r="I87" s="7"/>
      <c r="J87" s="7"/>
      <c r="K87" s="8"/>
      <c r="L87" s="7"/>
    </row>
    <row r="88" spans="1:12" ht="14.25" customHeight="1" x14ac:dyDescent="0.3">
      <c r="A88" s="7"/>
      <c r="B88" s="7"/>
      <c r="C88" s="7"/>
      <c r="D88" s="7"/>
      <c r="E88" s="7"/>
      <c r="F88" s="7"/>
      <c r="G88" s="8"/>
      <c r="H88" s="10"/>
      <c r="I88" s="7"/>
      <c r="J88" s="7"/>
      <c r="K88" s="8"/>
      <c r="L88" s="7"/>
    </row>
    <row r="89" spans="1:12" ht="14.25" customHeight="1" x14ac:dyDescent="0.3">
      <c r="A89" s="7"/>
      <c r="B89" s="7"/>
      <c r="C89" s="7"/>
      <c r="D89" s="7"/>
      <c r="E89" s="7"/>
      <c r="F89" s="7"/>
      <c r="G89" s="8"/>
      <c r="H89" s="10"/>
      <c r="I89" s="7"/>
      <c r="J89" s="7"/>
      <c r="K89" s="8"/>
      <c r="L89" s="7"/>
    </row>
    <row r="90" spans="1:12" ht="14.25" customHeight="1" x14ac:dyDescent="0.3">
      <c r="A90" s="7"/>
      <c r="B90" s="7"/>
      <c r="C90" s="7"/>
      <c r="D90" s="7"/>
      <c r="E90" s="7"/>
      <c r="F90" s="7"/>
      <c r="G90" s="8"/>
      <c r="H90" s="10"/>
      <c r="I90" s="7"/>
      <c r="J90" s="7"/>
      <c r="K90" s="8"/>
      <c r="L90" s="7"/>
    </row>
    <row r="91" spans="1:12" ht="14.25" customHeight="1" x14ac:dyDescent="0.3">
      <c r="A91" s="7"/>
      <c r="B91" s="7"/>
      <c r="C91" s="7"/>
      <c r="D91" s="7"/>
      <c r="E91" s="7"/>
      <c r="F91" s="7"/>
      <c r="G91" s="8"/>
      <c r="H91" s="10"/>
      <c r="I91" s="7"/>
      <c r="J91" s="7"/>
      <c r="K91" s="8"/>
      <c r="L91" s="7"/>
    </row>
    <row r="92" spans="1:12" ht="14.25" customHeight="1" x14ac:dyDescent="0.3">
      <c r="A92" s="7"/>
      <c r="B92" s="7"/>
      <c r="C92" s="7"/>
      <c r="D92" s="7"/>
      <c r="E92" s="7"/>
      <c r="F92" s="7"/>
      <c r="G92" s="8"/>
      <c r="H92" s="10"/>
      <c r="I92" s="7"/>
      <c r="J92" s="7"/>
      <c r="K92" s="8"/>
      <c r="L92" s="7"/>
    </row>
    <row r="93" spans="1:12" ht="14.25" customHeight="1" x14ac:dyDescent="0.3">
      <c r="A93" s="7"/>
      <c r="B93" s="7"/>
      <c r="C93" s="7"/>
      <c r="D93" s="7"/>
      <c r="E93" s="7"/>
      <c r="F93" s="7"/>
      <c r="G93" s="8"/>
      <c r="H93" s="10"/>
      <c r="I93" s="7"/>
      <c r="J93" s="7"/>
      <c r="K93" s="8"/>
      <c r="L93" s="7"/>
    </row>
    <row r="94" spans="1:12" ht="14.25" customHeight="1" x14ac:dyDescent="0.3">
      <c r="A94" s="7"/>
      <c r="B94" s="7"/>
      <c r="C94" s="7"/>
      <c r="D94" s="7"/>
      <c r="E94" s="7"/>
      <c r="F94" s="7"/>
      <c r="G94" s="8"/>
      <c r="H94" s="10"/>
      <c r="I94" s="7"/>
      <c r="J94" s="7"/>
      <c r="K94" s="8"/>
      <c r="L94" s="7"/>
    </row>
    <row r="95" spans="1:12" ht="14.25" customHeight="1" x14ac:dyDescent="0.3">
      <c r="A95" s="7"/>
      <c r="B95" s="7"/>
      <c r="C95" s="7"/>
      <c r="D95" s="7"/>
      <c r="E95" s="7"/>
      <c r="F95" s="7"/>
      <c r="G95" s="8"/>
      <c r="H95" s="10"/>
      <c r="I95" s="7"/>
      <c r="J95" s="7"/>
      <c r="K95" s="8"/>
      <c r="L95" s="7"/>
    </row>
    <row r="96" spans="1:12" ht="14.25" customHeight="1" x14ac:dyDescent="0.3">
      <c r="A96" s="7"/>
      <c r="B96" s="7"/>
      <c r="C96" s="7"/>
      <c r="D96" s="7"/>
      <c r="E96" s="7"/>
      <c r="F96" s="7"/>
      <c r="G96" s="8"/>
      <c r="H96" s="10"/>
      <c r="I96" s="7"/>
      <c r="J96" s="7"/>
      <c r="K96" s="8"/>
      <c r="L96" s="7"/>
    </row>
    <row r="97" spans="1:12" ht="14.25" customHeight="1" x14ac:dyDescent="0.3">
      <c r="A97" s="7"/>
      <c r="B97" s="7"/>
      <c r="C97" s="7"/>
      <c r="D97" s="7"/>
      <c r="E97" s="7"/>
      <c r="F97" s="7"/>
      <c r="G97" s="8"/>
      <c r="H97" s="10"/>
      <c r="I97" s="7"/>
      <c r="J97" s="7"/>
      <c r="K97" s="8"/>
      <c r="L97" s="7"/>
    </row>
    <row r="98" spans="1:12" ht="14.25" customHeight="1" x14ac:dyDescent="0.3">
      <c r="A98" s="7"/>
      <c r="B98" s="7"/>
      <c r="C98" s="7"/>
      <c r="D98" s="7"/>
      <c r="E98" s="7"/>
      <c r="F98" s="7"/>
      <c r="G98" s="8"/>
      <c r="H98" s="10"/>
      <c r="I98" s="7"/>
      <c r="J98" s="7"/>
      <c r="K98" s="8"/>
      <c r="L98" s="7"/>
    </row>
    <row r="99" spans="1:12" ht="14.25" customHeight="1" x14ac:dyDescent="0.3">
      <c r="A99" s="7"/>
      <c r="B99" s="7"/>
      <c r="C99" s="7"/>
      <c r="D99" s="7"/>
      <c r="E99" s="7"/>
      <c r="F99" s="7"/>
      <c r="G99" s="8"/>
      <c r="H99" s="10"/>
      <c r="I99" s="7"/>
      <c r="J99" s="7"/>
      <c r="K99" s="8"/>
      <c r="L99" s="7"/>
    </row>
    <row r="100" spans="1:12" ht="14.25" customHeight="1" x14ac:dyDescent="0.3">
      <c r="A100" s="7"/>
      <c r="B100" s="7"/>
      <c r="C100" s="7"/>
      <c r="D100" s="7"/>
      <c r="E100" s="7"/>
      <c r="F100" s="7"/>
      <c r="G100" s="8"/>
      <c r="H100" s="10"/>
      <c r="I100" s="7"/>
      <c r="J100" s="7"/>
      <c r="K100" s="8"/>
      <c r="L100" s="7"/>
    </row>
    <row r="101" spans="1:12" ht="14.25" customHeight="1" x14ac:dyDescent="0.3">
      <c r="A101" s="7"/>
      <c r="B101" s="7"/>
      <c r="C101" s="7"/>
      <c r="D101" s="7"/>
      <c r="E101" s="7"/>
      <c r="F101" s="7"/>
      <c r="G101" s="8"/>
      <c r="H101" s="10"/>
      <c r="I101" s="7"/>
      <c r="J101" s="7"/>
      <c r="K101" s="8"/>
      <c r="L101" s="7"/>
    </row>
    <row r="102" spans="1:12" ht="14.25" customHeight="1" x14ac:dyDescent="0.3">
      <c r="A102" s="7"/>
      <c r="B102" s="7"/>
      <c r="C102" s="7"/>
      <c r="D102" s="7"/>
      <c r="E102" s="7"/>
      <c r="F102" s="7"/>
      <c r="G102" s="8"/>
      <c r="H102" s="10"/>
      <c r="I102" s="7"/>
      <c r="J102" s="7"/>
      <c r="K102" s="8"/>
      <c r="L102" s="7"/>
    </row>
    <row r="103" spans="1:12" ht="14.25" customHeight="1" x14ac:dyDescent="0.3">
      <c r="A103" s="7"/>
      <c r="B103" s="7"/>
      <c r="C103" s="7"/>
      <c r="D103" s="7"/>
      <c r="E103" s="7"/>
      <c r="F103" s="7"/>
      <c r="G103" s="8"/>
      <c r="H103" s="10"/>
      <c r="I103" s="7"/>
      <c r="J103" s="7"/>
      <c r="K103" s="8"/>
      <c r="L103" s="7"/>
    </row>
    <row r="104" spans="1:12" ht="14.25" customHeight="1" x14ac:dyDescent="0.3">
      <c r="A104" s="7"/>
      <c r="B104" s="7"/>
      <c r="C104" s="7"/>
      <c r="D104" s="7"/>
      <c r="E104" s="7"/>
      <c r="F104" s="7"/>
      <c r="G104" s="8"/>
      <c r="H104" s="10"/>
      <c r="I104" s="7"/>
      <c r="J104" s="7"/>
      <c r="K104" s="8"/>
      <c r="L104" s="7"/>
    </row>
    <row r="105" spans="1:12" ht="14.25" customHeight="1" x14ac:dyDescent="0.3">
      <c r="A105" s="7"/>
      <c r="B105" s="7"/>
      <c r="C105" s="7"/>
      <c r="D105" s="7"/>
      <c r="E105" s="7"/>
      <c r="F105" s="7"/>
      <c r="G105" s="8"/>
      <c r="H105" s="10"/>
      <c r="I105" s="7"/>
      <c r="J105" s="7"/>
      <c r="K105" s="8"/>
      <c r="L105" s="7"/>
    </row>
    <row r="106" spans="1:12" ht="14.25" customHeight="1" x14ac:dyDescent="0.3">
      <c r="A106" s="7"/>
      <c r="B106" s="7"/>
      <c r="C106" s="7"/>
      <c r="D106" s="7"/>
      <c r="E106" s="7"/>
      <c r="F106" s="7"/>
      <c r="G106" s="8"/>
      <c r="H106" s="10"/>
      <c r="I106" s="7"/>
      <c r="J106" s="7"/>
      <c r="K106" s="8"/>
      <c r="L106" s="7"/>
    </row>
    <row r="107" spans="1:12" ht="14.25" customHeight="1" x14ac:dyDescent="0.3">
      <c r="A107" s="7"/>
      <c r="B107" s="7"/>
      <c r="C107" s="7"/>
      <c r="D107" s="7"/>
      <c r="E107" s="7"/>
      <c r="F107" s="7"/>
      <c r="G107" s="8"/>
      <c r="H107" s="10"/>
      <c r="I107" s="7"/>
      <c r="J107" s="7"/>
      <c r="K107" s="8"/>
      <c r="L107" s="7"/>
    </row>
    <row r="108" spans="1:12" ht="14.25" customHeight="1" x14ac:dyDescent="0.3">
      <c r="A108" s="7"/>
      <c r="B108" s="7"/>
      <c r="C108" s="7"/>
      <c r="D108" s="7"/>
      <c r="E108" s="7"/>
      <c r="F108" s="7"/>
      <c r="G108" s="8"/>
      <c r="H108" s="10"/>
      <c r="I108" s="7"/>
      <c r="J108" s="7"/>
      <c r="K108" s="8"/>
      <c r="L108" s="7"/>
    </row>
    <row r="109" spans="1:12" ht="14.25" customHeight="1" x14ac:dyDescent="0.3">
      <c r="A109" s="7"/>
      <c r="B109" s="7"/>
      <c r="C109" s="7"/>
      <c r="D109" s="7"/>
      <c r="E109" s="7"/>
      <c r="F109" s="7"/>
      <c r="G109" s="8"/>
      <c r="H109" s="10"/>
      <c r="I109" s="7"/>
      <c r="J109" s="7"/>
      <c r="K109" s="8"/>
      <c r="L109" s="7"/>
    </row>
    <row r="110" spans="1:12" ht="14.25" customHeight="1" x14ac:dyDescent="0.3">
      <c r="A110" s="7"/>
      <c r="B110" s="7"/>
      <c r="C110" s="7"/>
      <c r="D110" s="7"/>
      <c r="E110" s="7"/>
      <c r="F110" s="7"/>
      <c r="G110" s="8"/>
      <c r="H110" s="10"/>
      <c r="I110" s="7"/>
      <c r="J110" s="7"/>
      <c r="K110" s="8"/>
      <c r="L110" s="7"/>
    </row>
    <row r="111" spans="1:12" ht="14.25" customHeight="1" x14ac:dyDescent="0.3">
      <c r="A111" s="7"/>
      <c r="B111" s="7"/>
      <c r="C111" s="7"/>
      <c r="D111" s="7"/>
      <c r="E111" s="7"/>
      <c r="F111" s="7"/>
      <c r="G111" s="8"/>
      <c r="H111" s="10"/>
      <c r="I111" s="7"/>
      <c r="J111" s="7"/>
      <c r="K111" s="8"/>
      <c r="L111" s="7"/>
    </row>
    <row r="112" spans="1:12" ht="14.25" customHeight="1" x14ac:dyDescent="0.3">
      <c r="A112" s="7"/>
      <c r="B112" s="7"/>
      <c r="C112" s="7"/>
      <c r="D112" s="7"/>
      <c r="E112" s="7"/>
      <c r="F112" s="7"/>
      <c r="G112" s="8"/>
      <c r="H112" s="10"/>
      <c r="I112" s="7"/>
      <c r="J112" s="7"/>
      <c r="K112" s="8"/>
      <c r="L112" s="7"/>
    </row>
    <row r="113" spans="1:12" ht="14.25" customHeight="1" x14ac:dyDescent="0.3">
      <c r="A113" s="7"/>
      <c r="B113" s="7"/>
      <c r="C113" s="7"/>
      <c r="D113" s="7"/>
      <c r="E113" s="7"/>
      <c r="F113" s="7"/>
      <c r="G113" s="8"/>
      <c r="H113" s="10"/>
      <c r="I113" s="7"/>
      <c r="J113" s="7"/>
      <c r="K113" s="8"/>
      <c r="L113" s="7"/>
    </row>
    <row r="114" spans="1:12" ht="14.25" customHeight="1" x14ac:dyDescent="0.3">
      <c r="A114" s="7"/>
      <c r="B114" s="7"/>
      <c r="C114" s="7"/>
      <c r="D114" s="7"/>
      <c r="E114" s="7"/>
      <c r="F114" s="7"/>
      <c r="G114" s="8"/>
      <c r="H114" s="10"/>
      <c r="I114" s="7"/>
      <c r="J114" s="7"/>
      <c r="K114" s="8"/>
      <c r="L114" s="7"/>
    </row>
    <row r="115" spans="1:12" ht="14.25" customHeight="1" x14ac:dyDescent="0.3">
      <c r="A115" s="7"/>
      <c r="B115" s="7"/>
      <c r="C115" s="7"/>
      <c r="D115" s="7"/>
      <c r="E115" s="7"/>
      <c r="F115" s="7"/>
      <c r="G115" s="8"/>
      <c r="H115" s="10"/>
      <c r="I115" s="7"/>
      <c r="J115" s="7"/>
      <c r="K115" s="8"/>
      <c r="L115" s="7"/>
    </row>
    <row r="116" spans="1:12" ht="14.25" customHeight="1" x14ac:dyDescent="0.3">
      <c r="A116" s="7"/>
      <c r="B116" s="7"/>
      <c r="C116" s="7"/>
      <c r="D116" s="7"/>
      <c r="E116" s="7"/>
      <c r="F116" s="7"/>
      <c r="G116" s="8"/>
      <c r="H116" s="10"/>
      <c r="I116" s="7"/>
      <c r="J116" s="7"/>
      <c r="K116" s="8"/>
      <c r="L116" s="7"/>
    </row>
    <row r="117" spans="1:12" ht="14.25" customHeight="1" x14ac:dyDescent="0.3">
      <c r="A117" s="7"/>
      <c r="B117" s="7"/>
      <c r="C117" s="7"/>
      <c r="D117" s="7"/>
      <c r="E117" s="7"/>
      <c r="F117" s="7"/>
      <c r="G117" s="8"/>
      <c r="H117" s="10"/>
      <c r="I117" s="7"/>
      <c r="J117" s="7"/>
      <c r="K117" s="8"/>
      <c r="L117" s="7"/>
    </row>
    <row r="118" spans="1:12" ht="14.25" customHeight="1" x14ac:dyDescent="0.3">
      <c r="A118" s="7"/>
      <c r="B118" s="7"/>
      <c r="C118" s="7"/>
      <c r="D118" s="7"/>
      <c r="E118" s="7"/>
      <c r="F118" s="7"/>
      <c r="G118" s="8"/>
      <c r="H118" s="10"/>
      <c r="I118" s="7"/>
      <c r="J118" s="7"/>
      <c r="K118" s="8"/>
      <c r="L118" s="7"/>
    </row>
    <row r="119" spans="1:12" ht="14.25" customHeight="1" x14ac:dyDescent="0.3">
      <c r="A119" s="7"/>
      <c r="B119" s="7"/>
      <c r="C119" s="7"/>
      <c r="D119" s="7"/>
      <c r="E119" s="7"/>
      <c r="F119" s="7"/>
      <c r="G119" s="8"/>
      <c r="H119" s="10"/>
      <c r="I119" s="7"/>
      <c r="J119" s="7"/>
      <c r="K119" s="8"/>
      <c r="L119" s="7"/>
    </row>
    <row r="120" spans="1:12" ht="14.25" customHeight="1" x14ac:dyDescent="0.3">
      <c r="A120" s="7"/>
      <c r="B120" s="7"/>
      <c r="C120" s="7"/>
      <c r="D120" s="7"/>
      <c r="E120" s="7"/>
      <c r="F120" s="7"/>
      <c r="G120" s="8"/>
      <c r="H120" s="10"/>
      <c r="I120" s="7"/>
      <c r="J120" s="7"/>
      <c r="K120" s="8"/>
      <c r="L120" s="7"/>
    </row>
    <row r="121" spans="1:12" ht="14.25" customHeight="1" x14ac:dyDescent="0.3">
      <c r="A121" s="7"/>
      <c r="B121" s="7"/>
      <c r="C121" s="7"/>
      <c r="D121" s="7"/>
      <c r="E121" s="7"/>
      <c r="F121" s="7"/>
      <c r="G121" s="8"/>
      <c r="H121" s="10"/>
      <c r="I121" s="7"/>
      <c r="J121" s="7"/>
      <c r="K121" s="8"/>
      <c r="L121" s="7"/>
    </row>
    <row r="122" spans="1:12" ht="14.25" customHeight="1" x14ac:dyDescent="0.3">
      <c r="A122" s="7"/>
      <c r="B122" s="7"/>
      <c r="C122" s="7"/>
      <c r="D122" s="7"/>
      <c r="E122" s="7"/>
      <c r="F122" s="7"/>
      <c r="G122" s="8"/>
      <c r="H122" s="10"/>
      <c r="I122" s="7"/>
      <c r="J122" s="7"/>
      <c r="K122" s="8"/>
      <c r="L122" s="7"/>
    </row>
    <row r="123" spans="1:12" ht="14.25" customHeight="1" x14ac:dyDescent="0.3">
      <c r="A123" s="7"/>
      <c r="B123" s="7"/>
      <c r="C123" s="7"/>
      <c r="D123" s="7"/>
      <c r="E123" s="7"/>
      <c r="F123" s="7"/>
      <c r="G123" s="8"/>
      <c r="H123" s="10"/>
      <c r="I123" s="7"/>
      <c r="J123" s="7"/>
      <c r="K123" s="8"/>
      <c r="L123" s="7"/>
    </row>
    <row r="124" spans="1:12" ht="14.25" customHeight="1" x14ac:dyDescent="0.3">
      <c r="A124" s="7"/>
      <c r="B124" s="7"/>
      <c r="C124" s="7"/>
      <c r="D124" s="7"/>
      <c r="E124" s="7"/>
      <c r="F124" s="7"/>
      <c r="G124" s="8"/>
      <c r="H124" s="10"/>
      <c r="I124" s="7"/>
      <c r="J124" s="7"/>
      <c r="K124" s="8"/>
      <c r="L124" s="7"/>
    </row>
    <row r="125" spans="1:12" ht="14.25" customHeight="1" x14ac:dyDescent="0.3">
      <c r="A125" s="7"/>
      <c r="B125" s="7"/>
      <c r="C125" s="7"/>
      <c r="D125" s="7"/>
      <c r="E125" s="7"/>
      <c r="F125" s="7"/>
      <c r="G125" s="8"/>
      <c r="H125" s="10"/>
      <c r="I125" s="7"/>
      <c r="J125" s="7"/>
      <c r="K125" s="8"/>
      <c r="L125" s="7"/>
    </row>
    <row r="126" spans="1:12" ht="14.25" customHeight="1" x14ac:dyDescent="0.3">
      <c r="A126" s="7"/>
      <c r="B126" s="7"/>
      <c r="C126" s="7"/>
      <c r="D126" s="7"/>
      <c r="E126" s="7"/>
      <c r="F126" s="7"/>
      <c r="G126" s="8"/>
      <c r="H126" s="10"/>
      <c r="I126" s="7"/>
      <c r="J126" s="7"/>
      <c r="K126" s="8"/>
      <c r="L126" s="7"/>
    </row>
    <row r="127" spans="1:12" ht="14.25" customHeight="1" x14ac:dyDescent="0.3">
      <c r="A127" s="7"/>
      <c r="B127" s="7"/>
      <c r="C127" s="7"/>
      <c r="D127" s="7"/>
      <c r="E127" s="7"/>
      <c r="F127" s="7"/>
      <c r="G127" s="8"/>
      <c r="H127" s="10"/>
      <c r="I127" s="7"/>
      <c r="J127" s="7"/>
      <c r="K127" s="8"/>
      <c r="L127" s="7"/>
    </row>
    <row r="128" spans="1:12" ht="14.25" customHeight="1" x14ac:dyDescent="0.3">
      <c r="A128" s="7"/>
      <c r="B128" s="7"/>
      <c r="C128" s="7"/>
      <c r="D128" s="7"/>
      <c r="E128" s="7"/>
      <c r="F128" s="7"/>
      <c r="G128" s="8"/>
      <c r="H128" s="10"/>
      <c r="I128" s="7"/>
      <c r="J128" s="7"/>
      <c r="K128" s="8"/>
      <c r="L128" s="7"/>
    </row>
    <row r="129" spans="1:12" ht="14.25" customHeight="1" x14ac:dyDescent="0.3">
      <c r="A129" s="7"/>
      <c r="B129" s="7"/>
      <c r="C129" s="7"/>
      <c r="D129" s="7"/>
      <c r="E129" s="7"/>
      <c r="F129" s="7"/>
      <c r="G129" s="8"/>
      <c r="H129" s="10"/>
      <c r="I129" s="7"/>
      <c r="J129" s="7"/>
      <c r="K129" s="8"/>
      <c r="L129" s="7"/>
    </row>
    <row r="130" spans="1:12" ht="14.25" customHeight="1" x14ac:dyDescent="0.3">
      <c r="A130" s="7"/>
      <c r="B130" s="7"/>
      <c r="C130" s="7"/>
      <c r="D130" s="7"/>
      <c r="E130" s="7"/>
      <c r="F130" s="7"/>
      <c r="G130" s="8"/>
      <c r="H130" s="10"/>
      <c r="I130" s="7"/>
      <c r="J130" s="7"/>
      <c r="K130" s="8"/>
      <c r="L130" s="7"/>
    </row>
    <row r="131" spans="1:12" ht="14.25" customHeight="1" x14ac:dyDescent="0.3">
      <c r="A131" s="7"/>
      <c r="B131" s="7"/>
      <c r="C131" s="7"/>
      <c r="D131" s="7"/>
      <c r="E131" s="7"/>
      <c r="F131" s="7"/>
      <c r="G131" s="8"/>
      <c r="H131" s="10"/>
      <c r="I131" s="7"/>
      <c r="J131" s="7"/>
      <c r="K131" s="8"/>
      <c r="L131" s="7"/>
    </row>
    <row r="132" spans="1:12" ht="14.25" customHeight="1" x14ac:dyDescent="0.3">
      <c r="A132" s="7"/>
      <c r="B132" s="7"/>
      <c r="C132" s="7"/>
      <c r="D132" s="7"/>
      <c r="E132" s="7"/>
      <c r="F132" s="7"/>
      <c r="G132" s="8"/>
      <c r="H132" s="10"/>
      <c r="I132" s="7"/>
      <c r="J132" s="7"/>
      <c r="K132" s="8"/>
      <c r="L132" s="7"/>
    </row>
    <row r="133" spans="1:12" ht="14.25" customHeight="1" x14ac:dyDescent="0.3">
      <c r="A133" s="7"/>
      <c r="B133" s="7"/>
      <c r="C133" s="7"/>
      <c r="D133" s="7"/>
      <c r="E133" s="7"/>
      <c r="F133" s="7"/>
      <c r="G133" s="8"/>
      <c r="H133" s="10"/>
      <c r="I133" s="7"/>
      <c r="J133" s="7"/>
      <c r="K133" s="8"/>
      <c r="L133" s="7"/>
    </row>
    <row r="134" spans="1:12" ht="14.25" customHeight="1" x14ac:dyDescent="0.3">
      <c r="A134" s="7"/>
      <c r="B134" s="7"/>
      <c r="C134" s="7"/>
      <c r="D134" s="7"/>
      <c r="E134" s="7"/>
      <c r="F134" s="7"/>
      <c r="G134" s="8"/>
      <c r="H134" s="10"/>
      <c r="I134" s="7"/>
      <c r="J134" s="7"/>
      <c r="K134" s="8"/>
      <c r="L134" s="7"/>
    </row>
    <row r="135" spans="1:12" ht="14.25" customHeight="1" x14ac:dyDescent="0.3">
      <c r="A135" s="7"/>
      <c r="B135" s="7"/>
      <c r="C135" s="7"/>
      <c r="D135" s="7"/>
      <c r="E135" s="7"/>
      <c r="F135" s="7"/>
      <c r="G135" s="8"/>
      <c r="H135" s="10"/>
      <c r="I135" s="7"/>
      <c r="J135" s="7"/>
      <c r="K135" s="8"/>
      <c r="L135" s="7"/>
    </row>
    <row r="136" spans="1:12" ht="14.25" customHeight="1" x14ac:dyDescent="0.3">
      <c r="A136" s="7"/>
      <c r="B136" s="7"/>
      <c r="C136" s="7"/>
      <c r="D136" s="7"/>
      <c r="E136" s="7"/>
      <c r="F136" s="7"/>
      <c r="G136" s="8"/>
      <c r="H136" s="10"/>
      <c r="I136" s="7"/>
      <c r="J136" s="7"/>
      <c r="K136" s="8"/>
      <c r="L136" s="7"/>
    </row>
    <row r="137" spans="1:12" ht="14.25" customHeight="1" x14ac:dyDescent="0.3">
      <c r="A137" s="7"/>
      <c r="B137" s="7"/>
      <c r="C137" s="7"/>
      <c r="D137" s="7"/>
      <c r="E137" s="7"/>
      <c r="F137" s="7"/>
      <c r="G137" s="8"/>
      <c r="H137" s="10"/>
      <c r="I137" s="7"/>
      <c r="J137" s="7"/>
      <c r="K137" s="8"/>
      <c r="L137" s="7"/>
    </row>
    <row r="138" spans="1:12" ht="14.25" customHeight="1" x14ac:dyDescent="0.3">
      <c r="A138" s="7"/>
      <c r="B138" s="7"/>
      <c r="C138" s="7"/>
      <c r="D138" s="7"/>
      <c r="E138" s="7"/>
      <c r="F138" s="7"/>
      <c r="G138" s="8"/>
      <c r="H138" s="10"/>
      <c r="I138" s="7"/>
      <c r="J138" s="7"/>
      <c r="K138" s="8"/>
      <c r="L138" s="7"/>
    </row>
    <row r="139" spans="1:12" ht="14.25" customHeight="1" x14ac:dyDescent="0.3">
      <c r="A139" s="7"/>
      <c r="B139" s="7"/>
      <c r="C139" s="7"/>
      <c r="D139" s="7"/>
      <c r="E139" s="7"/>
      <c r="F139" s="7"/>
      <c r="G139" s="8"/>
      <c r="H139" s="10"/>
      <c r="I139" s="7"/>
      <c r="J139" s="7"/>
      <c r="K139" s="8"/>
      <c r="L139" s="7"/>
    </row>
    <row r="140" spans="1:12" ht="14.25" customHeight="1" x14ac:dyDescent="0.3">
      <c r="A140" s="7"/>
      <c r="B140" s="7"/>
      <c r="C140" s="7"/>
      <c r="D140" s="7"/>
      <c r="E140" s="7"/>
      <c r="F140" s="7"/>
      <c r="G140" s="8"/>
      <c r="H140" s="10"/>
      <c r="I140" s="7"/>
      <c r="J140" s="7"/>
      <c r="K140" s="8"/>
      <c r="L140" s="7"/>
    </row>
    <row r="141" spans="1:12" ht="14.25" customHeight="1" x14ac:dyDescent="0.3">
      <c r="A141" s="7"/>
      <c r="B141" s="7"/>
      <c r="C141" s="7"/>
      <c r="D141" s="7"/>
      <c r="E141" s="7"/>
      <c r="F141" s="7"/>
      <c r="G141" s="8"/>
      <c r="H141" s="10"/>
      <c r="I141" s="7"/>
      <c r="J141" s="7"/>
      <c r="K141" s="8"/>
      <c r="L141" s="7"/>
    </row>
    <row r="142" spans="1:12" ht="14.25" customHeight="1" x14ac:dyDescent="0.3">
      <c r="A142" s="7"/>
      <c r="B142" s="7"/>
      <c r="C142" s="7"/>
      <c r="D142" s="7"/>
      <c r="E142" s="7"/>
      <c r="F142" s="7"/>
      <c r="G142" s="8"/>
      <c r="H142" s="10"/>
      <c r="I142" s="7"/>
      <c r="J142" s="7"/>
      <c r="K142" s="8"/>
      <c r="L142" s="7"/>
    </row>
    <row r="143" spans="1:12" ht="14.25" customHeight="1" x14ac:dyDescent="0.3">
      <c r="A143" s="7"/>
      <c r="B143" s="7"/>
      <c r="C143" s="7"/>
      <c r="D143" s="7"/>
      <c r="E143" s="7"/>
      <c r="F143" s="7"/>
      <c r="G143" s="8"/>
      <c r="H143" s="10"/>
      <c r="I143" s="7"/>
      <c r="J143" s="7"/>
      <c r="K143" s="8"/>
      <c r="L143" s="7"/>
    </row>
    <row r="144" spans="1:12" ht="14.25" customHeight="1" x14ac:dyDescent="0.3">
      <c r="A144" s="7"/>
      <c r="B144" s="7"/>
      <c r="C144" s="7"/>
      <c r="D144" s="7"/>
      <c r="E144" s="7"/>
      <c r="F144" s="7"/>
      <c r="G144" s="8"/>
      <c r="H144" s="10"/>
      <c r="I144" s="7"/>
      <c r="J144" s="7"/>
      <c r="K144" s="8"/>
      <c r="L144" s="7"/>
    </row>
    <row r="145" spans="1:12" ht="14.25" customHeight="1" x14ac:dyDescent="0.3">
      <c r="A145" s="7"/>
      <c r="B145" s="7"/>
      <c r="C145" s="7"/>
      <c r="D145" s="7"/>
      <c r="E145" s="7"/>
      <c r="F145" s="7"/>
      <c r="G145" s="8"/>
      <c r="H145" s="10"/>
      <c r="I145" s="7"/>
      <c r="J145" s="7"/>
      <c r="K145" s="8"/>
      <c r="L145" s="7"/>
    </row>
    <row r="146" spans="1:12" ht="14.25" customHeight="1" x14ac:dyDescent="0.3">
      <c r="A146" s="7"/>
      <c r="B146" s="7"/>
      <c r="C146" s="7"/>
      <c r="D146" s="7"/>
      <c r="E146" s="7"/>
      <c r="F146" s="7"/>
      <c r="G146" s="8"/>
      <c r="H146" s="10"/>
      <c r="I146" s="7"/>
      <c r="J146" s="7"/>
      <c r="K146" s="8"/>
      <c r="L146" s="7"/>
    </row>
    <row r="147" spans="1:12" ht="14.25" customHeight="1" x14ac:dyDescent="0.3">
      <c r="A147" s="7"/>
      <c r="B147" s="7"/>
      <c r="C147" s="7"/>
      <c r="D147" s="7"/>
      <c r="E147" s="7"/>
      <c r="F147" s="7"/>
      <c r="G147" s="8"/>
      <c r="H147" s="10"/>
      <c r="I147" s="7"/>
      <c r="J147" s="7"/>
      <c r="K147" s="8"/>
      <c r="L147" s="7"/>
    </row>
    <row r="148" spans="1:12" ht="14.25" customHeight="1" x14ac:dyDescent="0.3">
      <c r="A148" s="7"/>
      <c r="B148" s="7"/>
      <c r="C148" s="7"/>
      <c r="D148" s="7"/>
      <c r="E148" s="7"/>
      <c r="F148" s="7"/>
      <c r="G148" s="8"/>
      <c r="H148" s="10"/>
      <c r="I148" s="7"/>
      <c r="J148" s="7"/>
      <c r="K148" s="8"/>
      <c r="L148" s="7"/>
    </row>
    <row r="149" spans="1:12" ht="14.25" customHeight="1" x14ac:dyDescent="0.3">
      <c r="A149" s="7"/>
      <c r="B149" s="7"/>
      <c r="C149" s="7"/>
      <c r="D149" s="7"/>
      <c r="E149" s="7"/>
      <c r="F149" s="7"/>
      <c r="G149" s="8"/>
      <c r="H149" s="10"/>
      <c r="I149" s="7"/>
      <c r="J149" s="7"/>
      <c r="K149" s="8"/>
      <c r="L149" s="7"/>
    </row>
    <row r="150" spans="1:12" ht="14.25" customHeight="1" x14ac:dyDescent="0.3">
      <c r="A150" s="7"/>
      <c r="B150" s="7"/>
      <c r="C150" s="7"/>
      <c r="D150" s="7"/>
      <c r="E150" s="7"/>
      <c r="F150" s="7"/>
      <c r="G150" s="8"/>
      <c r="H150" s="10"/>
      <c r="I150" s="7"/>
      <c r="J150" s="7"/>
      <c r="K150" s="8"/>
      <c r="L150" s="7"/>
    </row>
    <row r="151" spans="1:12" ht="14.25" customHeight="1" x14ac:dyDescent="0.3">
      <c r="A151" s="7"/>
      <c r="B151" s="7"/>
      <c r="C151" s="7"/>
      <c r="D151" s="7"/>
      <c r="E151" s="7"/>
      <c r="F151" s="7"/>
      <c r="G151" s="8"/>
      <c r="H151" s="10"/>
      <c r="I151" s="7"/>
      <c r="J151" s="7"/>
      <c r="K151" s="8"/>
      <c r="L151" s="7"/>
    </row>
    <row r="152" spans="1:12" ht="14.25" customHeight="1" x14ac:dyDescent="0.3">
      <c r="A152" s="7"/>
      <c r="B152" s="7"/>
      <c r="C152" s="7"/>
      <c r="D152" s="7"/>
      <c r="E152" s="7"/>
      <c r="F152" s="7"/>
      <c r="G152" s="8"/>
      <c r="H152" s="10"/>
      <c r="I152" s="7"/>
      <c r="J152" s="7"/>
      <c r="K152" s="8"/>
      <c r="L152" s="7"/>
    </row>
    <row r="153" spans="1:12" ht="14.25" customHeight="1" x14ac:dyDescent="0.3">
      <c r="A153" s="7"/>
      <c r="B153" s="7"/>
      <c r="C153" s="7"/>
      <c r="D153" s="7"/>
      <c r="E153" s="7"/>
      <c r="F153" s="7"/>
      <c r="G153" s="8"/>
      <c r="H153" s="10"/>
      <c r="I153" s="7"/>
      <c r="J153" s="7"/>
      <c r="K153" s="8"/>
      <c r="L153" s="7"/>
    </row>
    <row r="154" spans="1:12" ht="14.25" customHeight="1" x14ac:dyDescent="0.3">
      <c r="A154" s="7"/>
      <c r="B154" s="7"/>
      <c r="C154" s="7"/>
      <c r="D154" s="7"/>
      <c r="E154" s="7"/>
      <c r="F154" s="7"/>
      <c r="G154" s="8"/>
      <c r="H154" s="10"/>
      <c r="I154" s="7"/>
      <c r="J154" s="7"/>
      <c r="K154" s="8"/>
      <c r="L154" s="7"/>
    </row>
    <row r="155" spans="1:12" ht="14.25" customHeight="1" x14ac:dyDescent="0.3">
      <c r="A155" s="7"/>
      <c r="B155" s="7"/>
      <c r="C155" s="7"/>
      <c r="D155" s="7"/>
      <c r="E155" s="7"/>
      <c r="F155" s="7"/>
      <c r="G155" s="8"/>
      <c r="H155" s="10"/>
      <c r="I155" s="7"/>
      <c r="J155" s="7"/>
      <c r="K155" s="8"/>
      <c r="L155" s="7"/>
    </row>
    <row r="156" spans="1:12" ht="14.25" customHeight="1" x14ac:dyDescent="0.3">
      <c r="A156" s="7"/>
      <c r="B156" s="7"/>
      <c r="C156" s="7"/>
      <c r="D156" s="7"/>
      <c r="E156" s="7"/>
      <c r="F156" s="7"/>
      <c r="G156" s="8"/>
      <c r="H156" s="10"/>
      <c r="I156" s="7"/>
      <c r="J156" s="7"/>
      <c r="K156" s="8"/>
      <c r="L156" s="7"/>
    </row>
    <row r="157" spans="1:12" ht="14.25" customHeight="1" x14ac:dyDescent="0.3">
      <c r="A157" s="7"/>
      <c r="B157" s="7"/>
      <c r="C157" s="7"/>
      <c r="D157" s="7"/>
      <c r="E157" s="7"/>
      <c r="F157" s="7"/>
      <c r="G157" s="8"/>
      <c r="H157" s="10"/>
      <c r="I157" s="7"/>
      <c r="J157" s="7"/>
      <c r="K157" s="8"/>
      <c r="L157" s="7"/>
    </row>
    <row r="158" spans="1:12" ht="14.25" customHeight="1" x14ac:dyDescent="0.3">
      <c r="A158" s="7"/>
      <c r="B158" s="7"/>
      <c r="C158" s="7"/>
      <c r="D158" s="7"/>
      <c r="E158" s="7"/>
      <c r="F158" s="7"/>
      <c r="G158" s="8"/>
      <c r="H158" s="10"/>
      <c r="I158" s="7"/>
      <c r="J158" s="7"/>
      <c r="K158" s="8"/>
      <c r="L158" s="7"/>
    </row>
    <row r="159" spans="1:12" ht="14.25" customHeight="1" x14ac:dyDescent="0.3">
      <c r="A159" s="7"/>
      <c r="B159" s="7"/>
      <c r="C159" s="7"/>
      <c r="D159" s="7"/>
      <c r="E159" s="7"/>
      <c r="F159" s="7"/>
      <c r="G159" s="8"/>
      <c r="H159" s="10"/>
      <c r="I159" s="7"/>
      <c r="J159" s="7"/>
      <c r="K159" s="8"/>
      <c r="L159" s="7"/>
    </row>
    <row r="160" spans="1:12" ht="14.25" customHeight="1" x14ac:dyDescent="0.3">
      <c r="A160" s="7"/>
      <c r="B160" s="7"/>
      <c r="C160" s="7"/>
      <c r="D160" s="7"/>
      <c r="E160" s="7"/>
      <c r="F160" s="7"/>
      <c r="G160" s="8"/>
      <c r="H160" s="10"/>
      <c r="I160" s="7"/>
      <c r="J160" s="7"/>
      <c r="K160" s="8"/>
      <c r="L160" s="7"/>
    </row>
    <row r="161" spans="1:12" ht="14.25" customHeight="1" x14ac:dyDescent="0.3">
      <c r="A161" s="7"/>
      <c r="B161" s="7"/>
      <c r="C161" s="7"/>
      <c r="D161" s="7"/>
      <c r="E161" s="7"/>
      <c r="F161" s="7"/>
      <c r="G161" s="8"/>
      <c r="H161" s="10"/>
      <c r="I161" s="7"/>
      <c r="J161" s="7"/>
      <c r="K161" s="8"/>
      <c r="L161" s="7"/>
    </row>
    <row r="162" spans="1:12" ht="14.25" customHeight="1" x14ac:dyDescent="0.3">
      <c r="A162" s="7"/>
      <c r="B162" s="7"/>
      <c r="C162" s="7"/>
      <c r="D162" s="7"/>
      <c r="E162" s="7"/>
      <c r="F162" s="7"/>
      <c r="G162" s="8"/>
      <c r="H162" s="10"/>
      <c r="I162" s="7"/>
      <c r="J162" s="7"/>
      <c r="K162" s="8"/>
      <c r="L162" s="7"/>
    </row>
    <row r="163" spans="1:12" ht="14.25" customHeight="1" x14ac:dyDescent="0.3">
      <c r="A163" s="7"/>
      <c r="B163" s="7"/>
      <c r="C163" s="7"/>
      <c r="D163" s="7"/>
      <c r="E163" s="7"/>
      <c r="F163" s="7"/>
      <c r="G163" s="8"/>
      <c r="H163" s="10"/>
      <c r="I163" s="7"/>
      <c r="J163" s="7"/>
      <c r="K163" s="8"/>
      <c r="L163" s="7"/>
    </row>
    <row r="164" spans="1:12" ht="14.25" customHeight="1" x14ac:dyDescent="0.3">
      <c r="A164" s="7"/>
      <c r="B164" s="7"/>
      <c r="C164" s="7"/>
      <c r="D164" s="7"/>
      <c r="E164" s="7"/>
      <c r="F164" s="7"/>
      <c r="G164" s="8"/>
      <c r="H164" s="10"/>
      <c r="I164" s="7"/>
      <c r="J164" s="7"/>
      <c r="K164" s="8"/>
      <c r="L164" s="7"/>
    </row>
    <row r="165" spans="1:12" ht="14.25" customHeight="1" x14ac:dyDescent="0.3">
      <c r="A165" s="7"/>
      <c r="B165" s="7"/>
      <c r="C165" s="7"/>
      <c r="D165" s="7"/>
      <c r="E165" s="7"/>
      <c r="F165" s="7"/>
      <c r="G165" s="8"/>
      <c r="H165" s="10"/>
      <c r="I165" s="7"/>
      <c r="J165" s="7"/>
      <c r="K165" s="8"/>
      <c r="L165" s="7"/>
    </row>
    <row r="166" spans="1:12" ht="14.25" customHeight="1" x14ac:dyDescent="0.3">
      <c r="A166" s="7"/>
      <c r="B166" s="7"/>
      <c r="C166" s="7"/>
      <c r="D166" s="7"/>
      <c r="E166" s="7"/>
      <c r="F166" s="7"/>
      <c r="G166" s="8"/>
      <c r="H166" s="10"/>
      <c r="I166" s="7"/>
      <c r="J166" s="7"/>
      <c r="K166" s="8"/>
      <c r="L166" s="7"/>
    </row>
    <row r="167" spans="1:12" ht="14.25" customHeight="1" x14ac:dyDescent="0.3">
      <c r="A167" s="7"/>
      <c r="B167" s="7"/>
      <c r="C167" s="7"/>
      <c r="D167" s="7"/>
      <c r="E167" s="7"/>
      <c r="F167" s="7"/>
      <c r="G167" s="8"/>
      <c r="H167" s="10"/>
      <c r="I167" s="7"/>
      <c r="J167" s="7"/>
      <c r="K167" s="8"/>
      <c r="L167" s="7"/>
    </row>
    <row r="168" spans="1:12" ht="14.25" customHeight="1" x14ac:dyDescent="0.3">
      <c r="A168" s="7"/>
      <c r="B168" s="7"/>
      <c r="C168" s="7"/>
      <c r="D168" s="7"/>
      <c r="E168" s="7"/>
      <c r="F168" s="7"/>
      <c r="G168" s="8"/>
      <c r="H168" s="10"/>
      <c r="I168" s="7"/>
      <c r="J168" s="7"/>
      <c r="K168" s="8"/>
      <c r="L168" s="7"/>
    </row>
    <row r="169" spans="1:12" ht="14.25" customHeight="1" x14ac:dyDescent="0.3">
      <c r="A169" s="7"/>
      <c r="B169" s="7"/>
      <c r="C169" s="7"/>
      <c r="D169" s="7"/>
      <c r="E169" s="7"/>
      <c r="F169" s="7"/>
      <c r="G169" s="8"/>
      <c r="H169" s="10"/>
      <c r="I169" s="7"/>
      <c r="J169" s="7"/>
      <c r="K169" s="8"/>
      <c r="L169" s="7"/>
    </row>
    <row r="170" spans="1:12" ht="14.25" customHeight="1" x14ac:dyDescent="0.3">
      <c r="A170" s="7"/>
      <c r="B170" s="7"/>
      <c r="C170" s="7"/>
      <c r="D170" s="7"/>
      <c r="E170" s="7"/>
      <c r="F170" s="7"/>
      <c r="G170" s="8"/>
      <c r="H170" s="10"/>
      <c r="I170" s="7"/>
      <c r="J170" s="7"/>
      <c r="K170" s="8"/>
      <c r="L170" s="7"/>
    </row>
    <row r="171" spans="1:12" ht="14.25" customHeight="1" x14ac:dyDescent="0.3">
      <c r="A171" s="7"/>
      <c r="B171" s="7"/>
      <c r="C171" s="7"/>
      <c r="D171" s="7"/>
      <c r="E171" s="7"/>
      <c r="F171" s="7"/>
      <c r="G171" s="8"/>
      <c r="H171" s="10"/>
      <c r="I171" s="7"/>
      <c r="J171" s="7"/>
      <c r="K171" s="8"/>
      <c r="L171" s="7"/>
    </row>
    <row r="172" spans="1:12" ht="14.25" customHeight="1" x14ac:dyDescent="0.3">
      <c r="A172" s="7"/>
      <c r="B172" s="7"/>
      <c r="C172" s="7"/>
      <c r="D172" s="7"/>
      <c r="E172" s="7"/>
      <c r="F172" s="7"/>
      <c r="G172" s="8"/>
      <c r="H172" s="10"/>
      <c r="I172" s="7"/>
      <c r="J172" s="7"/>
      <c r="K172" s="8"/>
      <c r="L172" s="7"/>
    </row>
    <row r="173" spans="1:12" ht="14.25" customHeight="1" x14ac:dyDescent="0.3">
      <c r="A173" s="7"/>
      <c r="B173" s="7"/>
      <c r="C173" s="7"/>
      <c r="D173" s="7"/>
      <c r="E173" s="7"/>
      <c r="F173" s="7"/>
      <c r="G173" s="8"/>
      <c r="H173" s="10"/>
      <c r="I173" s="7"/>
      <c r="J173" s="7"/>
      <c r="K173" s="8"/>
      <c r="L173" s="7"/>
    </row>
    <row r="174" spans="1:12" ht="14.25" customHeight="1" x14ac:dyDescent="0.3">
      <c r="A174" s="7"/>
      <c r="B174" s="7"/>
      <c r="C174" s="7"/>
      <c r="D174" s="7"/>
      <c r="E174" s="7"/>
      <c r="F174" s="7"/>
      <c r="G174" s="8"/>
      <c r="H174" s="10"/>
      <c r="I174" s="7"/>
      <c r="J174" s="7"/>
      <c r="K174" s="8"/>
      <c r="L174" s="7"/>
    </row>
    <row r="175" spans="1:12" ht="14.25" customHeight="1" x14ac:dyDescent="0.3">
      <c r="A175" s="7"/>
      <c r="B175" s="7"/>
      <c r="C175" s="7"/>
      <c r="D175" s="7"/>
      <c r="E175" s="7"/>
      <c r="F175" s="7"/>
      <c r="G175" s="8"/>
      <c r="H175" s="10"/>
      <c r="I175" s="7"/>
      <c r="J175" s="7"/>
      <c r="K175" s="8"/>
      <c r="L175" s="7"/>
    </row>
    <row r="176" spans="1:12" ht="14.25" customHeight="1" x14ac:dyDescent="0.3">
      <c r="A176" s="7"/>
      <c r="B176" s="7"/>
      <c r="C176" s="7"/>
      <c r="D176" s="7"/>
      <c r="E176" s="7"/>
      <c r="F176" s="7"/>
      <c r="G176" s="8"/>
      <c r="H176" s="10"/>
      <c r="I176" s="7"/>
      <c r="J176" s="7"/>
      <c r="K176" s="8"/>
      <c r="L176" s="7"/>
    </row>
    <row r="177" spans="1:12" ht="14.25" customHeight="1" x14ac:dyDescent="0.3">
      <c r="A177" s="7"/>
      <c r="B177" s="7"/>
      <c r="C177" s="7"/>
      <c r="D177" s="7"/>
      <c r="E177" s="7"/>
      <c r="F177" s="7"/>
      <c r="G177" s="8"/>
      <c r="H177" s="10"/>
      <c r="I177" s="7"/>
      <c r="J177" s="7"/>
      <c r="K177" s="8"/>
      <c r="L177" s="7"/>
    </row>
    <row r="178" spans="1:12" ht="14.25" customHeight="1" x14ac:dyDescent="0.3">
      <c r="A178" s="7"/>
      <c r="B178" s="7"/>
      <c r="C178" s="7"/>
      <c r="D178" s="7"/>
      <c r="E178" s="7"/>
      <c r="F178" s="7"/>
      <c r="G178" s="8"/>
      <c r="H178" s="10"/>
      <c r="I178" s="7"/>
      <c r="J178" s="7"/>
      <c r="K178" s="8"/>
      <c r="L178" s="7"/>
    </row>
    <row r="179" spans="1:12" ht="14.25" customHeight="1" x14ac:dyDescent="0.3">
      <c r="A179" s="7"/>
      <c r="B179" s="7"/>
      <c r="C179" s="7"/>
      <c r="D179" s="7"/>
      <c r="E179" s="7"/>
      <c r="F179" s="7"/>
      <c r="G179" s="8"/>
      <c r="H179" s="10"/>
      <c r="I179" s="7"/>
      <c r="J179" s="7"/>
      <c r="K179" s="8"/>
      <c r="L179" s="7"/>
    </row>
    <row r="180" spans="1:12" ht="14.25" customHeight="1" x14ac:dyDescent="0.3">
      <c r="A180" s="7"/>
      <c r="B180" s="7"/>
      <c r="C180" s="7"/>
      <c r="D180" s="7"/>
      <c r="E180" s="7"/>
      <c r="F180" s="7"/>
      <c r="G180" s="8"/>
      <c r="H180" s="10"/>
      <c r="I180" s="7"/>
      <c r="J180" s="7"/>
      <c r="K180" s="8"/>
      <c r="L180" s="7"/>
    </row>
    <row r="181" spans="1:12" ht="14.25" customHeight="1" x14ac:dyDescent="0.3">
      <c r="A181" s="7"/>
      <c r="B181" s="7"/>
      <c r="C181" s="7"/>
      <c r="D181" s="7"/>
      <c r="E181" s="7"/>
      <c r="F181" s="7"/>
      <c r="G181" s="8"/>
      <c r="H181" s="10"/>
      <c r="I181" s="7"/>
      <c r="J181" s="7"/>
      <c r="K181" s="8"/>
      <c r="L181" s="7"/>
    </row>
    <row r="182" spans="1:12" ht="14.25" customHeight="1" x14ac:dyDescent="0.3">
      <c r="A182" s="7"/>
      <c r="B182" s="7"/>
      <c r="C182" s="7"/>
      <c r="D182" s="7"/>
      <c r="E182" s="7"/>
      <c r="F182" s="7"/>
      <c r="G182" s="8"/>
      <c r="H182" s="10"/>
      <c r="I182" s="7"/>
      <c r="J182" s="7"/>
      <c r="K182" s="8"/>
      <c r="L182" s="7"/>
    </row>
    <row r="183" spans="1:12" ht="14.25" customHeight="1" x14ac:dyDescent="0.3">
      <c r="A183" s="7"/>
      <c r="B183" s="7"/>
      <c r="C183" s="7"/>
      <c r="D183" s="7"/>
      <c r="E183" s="7"/>
      <c r="F183" s="7"/>
      <c r="G183" s="8"/>
      <c r="H183" s="10"/>
      <c r="I183" s="7"/>
      <c r="J183" s="7"/>
      <c r="K183" s="8"/>
      <c r="L183" s="7"/>
    </row>
    <row r="184" spans="1:12" ht="14.25" customHeight="1" x14ac:dyDescent="0.3">
      <c r="A184" s="7"/>
      <c r="B184" s="7"/>
      <c r="C184" s="7"/>
      <c r="D184" s="7"/>
      <c r="E184" s="7"/>
      <c r="F184" s="7"/>
      <c r="G184" s="8"/>
      <c r="H184" s="10"/>
      <c r="I184" s="7"/>
      <c r="J184" s="7"/>
      <c r="K184" s="8"/>
      <c r="L184" s="7"/>
    </row>
    <row r="185" spans="1:12" ht="14.25" customHeight="1" x14ac:dyDescent="0.3">
      <c r="A185" s="7"/>
      <c r="B185" s="7"/>
      <c r="C185" s="7"/>
      <c r="D185" s="7"/>
      <c r="E185" s="7"/>
      <c r="F185" s="7"/>
      <c r="G185" s="8"/>
      <c r="H185" s="10"/>
      <c r="I185" s="7"/>
      <c r="J185" s="7"/>
      <c r="K185" s="8"/>
      <c r="L185" s="7"/>
    </row>
    <row r="186" spans="1:12" ht="14.25" customHeight="1" x14ac:dyDescent="0.3">
      <c r="A186" s="7"/>
      <c r="B186" s="7"/>
      <c r="C186" s="7"/>
      <c r="D186" s="7"/>
      <c r="E186" s="7"/>
      <c r="F186" s="7"/>
      <c r="G186" s="8"/>
      <c r="H186" s="10"/>
      <c r="I186" s="7"/>
      <c r="J186" s="7"/>
      <c r="K186" s="8"/>
      <c r="L186" s="7"/>
    </row>
    <row r="187" spans="1:12" ht="14.25" customHeight="1" x14ac:dyDescent="0.3">
      <c r="A187" s="7"/>
      <c r="B187" s="7"/>
      <c r="C187" s="7"/>
      <c r="D187" s="7"/>
      <c r="E187" s="7"/>
      <c r="F187" s="7"/>
      <c r="G187" s="8"/>
      <c r="H187" s="10"/>
      <c r="I187" s="7"/>
      <c r="J187" s="7"/>
      <c r="K187" s="8"/>
      <c r="L187" s="7"/>
    </row>
    <row r="188" spans="1:12" ht="14.25" customHeight="1" x14ac:dyDescent="0.3">
      <c r="A188" s="7"/>
      <c r="B188" s="7"/>
      <c r="C188" s="7"/>
      <c r="D188" s="7"/>
      <c r="E188" s="7"/>
      <c r="F188" s="7"/>
      <c r="G188" s="8"/>
      <c r="H188" s="10"/>
      <c r="I188" s="7"/>
      <c r="J188" s="7"/>
      <c r="K188" s="8"/>
      <c r="L188" s="7"/>
    </row>
    <row r="189" spans="1:12" ht="14.25" customHeight="1" x14ac:dyDescent="0.3">
      <c r="A189" s="7"/>
      <c r="B189" s="7"/>
      <c r="C189" s="7"/>
      <c r="D189" s="7"/>
      <c r="E189" s="7"/>
      <c r="F189" s="7"/>
      <c r="G189" s="8"/>
      <c r="H189" s="10"/>
      <c r="I189" s="7"/>
      <c r="J189" s="7"/>
      <c r="K189" s="8"/>
      <c r="L189" s="7"/>
    </row>
    <row r="190" spans="1:12" ht="14.25" customHeight="1" x14ac:dyDescent="0.3">
      <c r="A190" s="7"/>
      <c r="B190" s="7"/>
      <c r="C190" s="7"/>
      <c r="D190" s="7"/>
      <c r="E190" s="7"/>
      <c r="F190" s="7"/>
      <c r="G190" s="8"/>
      <c r="H190" s="10"/>
      <c r="I190" s="7"/>
      <c r="J190" s="7"/>
      <c r="K190" s="8"/>
      <c r="L190" s="7"/>
    </row>
    <row r="191" spans="1:12" ht="14.25" customHeight="1" x14ac:dyDescent="0.3">
      <c r="A191" s="7"/>
      <c r="B191" s="7"/>
      <c r="C191" s="7"/>
      <c r="D191" s="7"/>
      <c r="E191" s="7"/>
      <c r="F191" s="7"/>
      <c r="G191" s="8"/>
      <c r="H191" s="10"/>
      <c r="I191" s="7"/>
      <c r="J191" s="7"/>
      <c r="K191" s="8"/>
      <c r="L191" s="7"/>
    </row>
    <row r="192" spans="1:12" ht="14.25" customHeight="1" x14ac:dyDescent="0.3">
      <c r="A192" s="7"/>
      <c r="B192" s="7"/>
      <c r="C192" s="7"/>
      <c r="D192" s="7"/>
      <c r="E192" s="7"/>
      <c r="F192" s="7"/>
      <c r="G192" s="8"/>
      <c r="H192" s="10"/>
      <c r="I192" s="7"/>
      <c r="J192" s="7"/>
      <c r="K192" s="8"/>
      <c r="L192" s="7"/>
    </row>
    <row r="193" spans="1:12" ht="14.25" customHeight="1" x14ac:dyDescent="0.3">
      <c r="A193" s="7"/>
      <c r="B193" s="7"/>
      <c r="C193" s="7"/>
      <c r="D193" s="7"/>
      <c r="E193" s="7"/>
      <c r="F193" s="7"/>
      <c r="G193" s="8"/>
      <c r="H193" s="10"/>
      <c r="I193" s="7"/>
      <c r="J193" s="7"/>
      <c r="K193" s="8"/>
      <c r="L193" s="7"/>
    </row>
    <row r="194" spans="1:12" ht="14.25" customHeight="1" x14ac:dyDescent="0.3">
      <c r="A194" s="7"/>
      <c r="B194" s="7"/>
      <c r="C194" s="7"/>
      <c r="D194" s="7"/>
      <c r="E194" s="7"/>
      <c r="F194" s="7"/>
      <c r="G194" s="8"/>
      <c r="H194" s="10"/>
      <c r="I194" s="7"/>
      <c r="J194" s="7"/>
      <c r="K194" s="8"/>
      <c r="L194" s="7"/>
    </row>
    <row r="195" spans="1:12" ht="14.25" customHeight="1" x14ac:dyDescent="0.3">
      <c r="A195" s="7"/>
      <c r="B195" s="7"/>
      <c r="C195" s="7"/>
      <c r="D195" s="7"/>
      <c r="E195" s="7"/>
      <c r="F195" s="7"/>
      <c r="G195" s="8"/>
      <c r="H195" s="10"/>
      <c r="I195" s="7"/>
      <c r="J195" s="7"/>
      <c r="K195" s="8"/>
      <c r="L195" s="7"/>
    </row>
    <row r="196" spans="1:12" ht="14.25" customHeight="1" x14ac:dyDescent="0.3">
      <c r="A196" s="7"/>
      <c r="B196" s="7"/>
      <c r="C196" s="7"/>
      <c r="D196" s="7"/>
      <c r="E196" s="7"/>
      <c r="F196" s="7"/>
      <c r="G196" s="8"/>
      <c r="H196" s="10"/>
      <c r="I196" s="7"/>
      <c r="J196" s="7"/>
      <c r="K196" s="8"/>
      <c r="L196" s="7"/>
    </row>
    <row r="197" spans="1:12" ht="14.25" customHeight="1" x14ac:dyDescent="0.3">
      <c r="A197" s="7"/>
      <c r="B197" s="7"/>
      <c r="C197" s="7"/>
      <c r="D197" s="7"/>
      <c r="E197" s="7"/>
      <c r="F197" s="7"/>
      <c r="G197" s="8"/>
      <c r="H197" s="10"/>
      <c r="I197" s="7"/>
      <c r="J197" s="7"/>
      <c r="K197" s="8"/>
      <c r="L197" s="7"/>
    </row>
    <row r="198" spans="1:12" ht="14.25" customHeight="1" x14ac:dyDescent="0.3">
      <c r="A198" s="7"/>
      <c r="B198" s="7"/>
      <c r="C198" s="7"/>
      <c r="D198" s="7"/>
      <c r="E198" s="7"/>
      <c r="F198" s="7"/>
      <c r="G198" s="8"/>
      <c r="H198" s="10"/>
      <c r="I198" s="7"/>
      <c r="J198" s="7"/>
      <c r="K198" s="8"/>
      <c r="L198" s="7"/>
    </row>
    <row r="199" spans="1:12" ht="14.25" customHeight="1" x14ac:dyDescent="0.3">
      <c r="A199" s="7"/>
      <c r="B199" s="7"/>
      <c r="C199" s="7"/>
      <c r="D199" s="7"/>
      <c r="E199" s="7"/>
      <c r="F199" s="7"/>
      <c r="G199" s="8"/>
      <c r="H199" s="10"/>
      <c r="I199" s="7"/>
      <c r="J199" s="7"/>
      <c r="K199" s="8"/>
      <c r="L199" s="7"/>
    </row>
    <row r="200" spans="1:12" ht="14.25" customHeight="1" x14ac:dyDescent="0.3">
      <c r="A200" s="7"/>
      <c r="B200" s="7"/>
      <c r="C200" s="7"/>
      <c r="D200" s="7"/>
      <c r="E200" s="7"/>
      <c r="F200" s="7"/>
      <c r="G200" s="8"/>
      <c r="H200" s="10"/>
      <c r="I200" s="7"/>
      <c r="J200" s="7"/>
      <c r="K200" s="8"/>
      <c r="L200" s="7"/>
    </row>
    <row r="201" spans="1:12" ht="14.25" customHeight="1" x14ac:dyDescent="0.3">
      <c r="A201" s="7"/>
      <c r="B201" s="7"/>
      <c r="C201" s="7"/>
      <c r="D201" s="7"/>
      <c r="E201" s="7"/>
      <c r="F201" s="7"/>
      <c r="G201" s="8"/>
      <c r="H201" s="10"/>
      <c r="I201" s="7"/>
      <c r="J201" s="7"/>
      <c r="K201" s="8"/>
      <c r="L201" s="7"/>
    </row>
  </sheetData>
  <mergeCells count="1">
    <mergeCell ref="A1:L1"/>
  </mergeCells>
  <conditionalFormatting sqref="J3:J201">
    <cfRule type="expression" dxfId="6" priority="2">
      <formula>J3="Yes"</formula>
    </cfRule>
    <cfRule type="expression" dxfId="5" priority="3">
      <formula>J3="No"</formula>
    </cfRule>
  </conditionalFormatting>
  <dataValidations count="2">
    <dataValidation type="list" sqref="C3:C201" xr:uid="{00000000-0002-0000-0300-000000000000}">
      <formula1>"Unit 1 / Phase 1,Phase 2,Phase 3,Final"</formula1>
      <formula2>0</formula2>
    </dataValidation>
    <dataValidation type="list" sqref="J3:J201" xr:uid="{00000000-0002-0000-0300-000001000000}">
      <formula1>"Yes,No"</formula1>
      <formula2>0</formula2>
    </dataValidation>
  </dataValidations>
  <hyperlinks>
    <hyperlink ref="I3" r:id="rId1" xr:uid="{F443AB23-545F-4EA7-B5C1-5D66BE9617BD}"/>
    <hyperlink ref="I6" r:id="rId2" location="Uhttps%3A%2F%2Fdrive.google.com%2Fuc%3Fid%3D1ClYwvn3JjYWEF-mdmsHK64CJf6675N-G%26export%3Ddownload" xr:uid="{E6B89FFE-7559-4420-B16A-DB177CA55CE4}"/>
    <hyperlink ref="I4" r:id="rId3" display="https://www.figma.com/proto/lPObV3qt8TfARP7lGBJZqU/School-Parental-System?node-id=197-2563&amp;p=f&amp;viewport=-167%2C288%2C0.1&amp;t=Gi9OyypmECYmlsAf-1&amp;scaling=contain&amp;content-scaling=fixed&amp;starting-point-node-id=197%3A2563&amp;page-id=0%3A1" xr:uid="{97258B46-D53D-4DB0-89E5-811B429A3940}"/>
  </hyperlinks>
  <pageMargins left="0.7" right="0.7" top="0.75" bottom="0.75" header="0.511811023622047" footer="0.511811023622047"/>
  <pageSetup paperSize="9" orientation="portrait" horizontalDpi="300" verticalDpi="300"/>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abSelected="1" zoomScaleNormal="100" workbookViewId="0">
      <selection activeCell="A8" sqref="A8"/>
    </sheetView>
  </sheetViews>
  <sheetFormatPr defaultColWidth="8.77734375" defaultRowHeight="14.4" x14ac:dyDescent="0.3"/>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19.5" customHeight="1" x14ac:dyDescent="0.3">
      <c r="A1" s="12" t="s">
        <v>149</v>
      </c>
      <c r="B1" s="12"/>
      <c r="C1" s="12"/>
      <c r="D1" s="12"/>
      <c r="E1" s="12"/>
      <c r="F1" s="12"/>
      <c r="G1" s="12"/>
      <c r="H1" s="12"/>
      <c r="I1" s="12"/>
    </row>
    <row r="2" spans="1:9" ht="27.75" customHeight="1" x14ac:dyDescent="0.3">
      <c r="A2" s="1" t="s">
        <v>150</v>
      </c>
      <c r="B2" s="1" t="s">
        <v>72</v>
      </c>
      <c r="C2" s="1" t="s">
        <v>151</v>
      </c>
      <c r="D2" s="1" t="s">
        <v>3</v>
      </c>
      <c r="E2" s="1" t="s">
        <v>152</v>
      </c>
      <c r="F2" s="1" t="s">
        <v>153</v>
      </c>
      <c r="G2" s="1" t="s">
        <v>154</v>
      </c>
      <c r="H2" s="1" t="s">
        <v>155</v>
      </c>
      <c r="I2" s="1" t="s">
        <v>80</v>
      </c>
    </row>
    <row r="3" spans="1:9" ht="57" customHeight="1" x14ac:dyDescent="0.3">
      <c r="A3" s="8"/>
      <c r="B3" s="7" t="s">
        <v>32</v>
      </c>
      <c r="C3" s="7" t="s">
        <v>156</v>
      </c>
      <c r="D3" s="7" t="s">
        <v>157</v>
      </c>
      <c r="E3" s="7" t="s">
        <v>87</v>
      </c>
      <c r="F3" s="7" t="s">
        <v>158</v>
      </c>
      <c r="G3" s="7" t="s">
        <v>159</v>
      </c>
      <c r="H3" s="7" t="s">
        <v>160</v>
      </c>
      <c r="I3" s="7" t="s">
        <v>161</v>
      </c>
    </row>
    <row r="4" spans="1:9" ht="72" customHeight="1" x14ac:dyDescent="0.3">
      <c r="A4" s="8"/>
      <c r="B4" s="7" t="s">
        <v>32</v>
      </c>
      <c r="C4" s="7" t="s">
        <v>156</v>
      </c>
      <c r="D4" s="7" t="s">
        <v>157</v>
      </c>
      <c r="E4" s="7" t="s">
        <v>87</v>
      </c>
      <c r="F4" s="7" t="s">
        <v>162</v>
      </c>
      <c r="G4" s="7" t="s">
        <v>163</v>
      </c>
      <c r="H4" s="7" t="s">
        <v>164</v>
      </c>
      <c r="I4" s="7" t="s">
        <v>161</v>
      </c>
    </row>
    <row r="5" spans="1:9" ht="72" customHeight="1" x14ac:dyDescent="0.3">
      <c r="A5" s="8"/>
      <c r="B5" s="7" t="s">
        <v>32</v>
      </c>
      <c r="C5" s="7" t="s">
        <v>156</v>
      </c>
      <c r="D5" s="7" t="s">
        <v>157</v>
      </c>
      <c r="E5" s="7" t="s">
        <v>87</v>
      </c>
      <c r="F5" s="7" t="s">
        <v>165</v>
      </c>
      <c r="G5" s="7" t="s">
        <v>166</v>
      </c>
      <c r="H5" s="7" t="s">
        <v>167</v>
      </c>
      <c r="I5" s="7" t="s">
        <v>161</v>
      </c>
    </row>
    <row r="6" spans="1:9" ht="14.25" customHeight="1" x14ac:dyDescent="0.3">
      <c r="A6" s="8"/>
      <c r="B6" s="7" t="s">
        <v>34</v>
      </c>
      <c r="C6" s="7" t="s">
        <v>253</v>
      </c>
      <c r="D6" s="7" t="s">
        <v>254</v>
      </c>
      <c r="E6" s="7" t="s">
        <v>87</v>
      </c>
      <c r="F6" s="7" t="s">
        <v>158</v>
      </c>
      <c r="G6" s="7" t="s">
        <v>255</v>
      </c>
      <c r="H6" s="7" t="s">
        <v>256</v>
      </c>
      <c r="I6" s="7" t="s">
        <v>161</v>
      </c>
    </row>
    <row r="7" spans="1:9" ht="14.25" customHeight="1" x14ac:dyDescent="0.3">
      <c r="A7" s="8"/>
      <c r="B7" s="7" t="s">
        <v>36</v>
      </c>
      <c r="C7" s="7" t="s">
        <v>253</v>
      </c>
      <c r="D7" s="7" t="s">
        <v>333</v>
      </c>
      <c r="E7" s="7" t="s">
        <v>87</v>
      </c>
      <c r="F7" s="7" t="s">
        <v>334</v>
      </c>
      <c r="G7" s="7" t="s">
        <v>335</v>
      </c>
      <c r="H7" s="7" t="s">
        <v>336</v>
      </c>
      <c r="I7" s="7" t="s">
        <v>161</v>
      </c>
    </row>
    <row r="8" spans="1:9" ht="14.25" customHeight="1" x14ac:dyDescent="0.3">
      <c r="A8" s="8"/>
      <c r="B8" s="7"/>
      <c r="C8" s="7"/>
      <c r="D8" s="7"/>
      <c r="E8" s="7"/>
      <c r="F8" s="7"/>
      <c r="G8" s="7"/>
      <c r="H8" s="7"/>
      <c r="I8" s="7"/>
    </row>
    <row r="9" spans="1:9" ht="14.25" customHeight="1" x14ac:dyDescent="0.3">
      <c r="A9" s="8"/>
      <c r="B9" s="7"/>
      <c r="C9" s="7"/>
      <c r="D9" s="7"/>
      <c r="E9" s="7"/>
      <c r="F9" s="7"/>
      <c r="G9" s="7"/>
      <c r="H9" s="7"/>
      <c r="I9" s="7"/>
    </row>
    <row r="10" spans="1:9" ht="14.25" customHeight="1" x14ac:dyDescent="0.3">
      <c r="A10" s="8"/>
      <c r="B10" s="7"/>
      <c r="C10" s="7"/>
      <c r="D10" s="7"/>
      <c r="E10" s="7"/>
      <c r="F10" s="7"/>
      <c r="G10" s="7"/>
      <c r="H10" s="7"/>
      <c r="I10" s="7"/>
    </row>
    <row r="11" spans="1:9" ht="14.25" customHeight="1" x14ac:dyDescent="0.3">
      <c r="A11" s="8"/>
      <c r="B11" s="7"/>
      <c r="C11" s="7"/>
      <c r="D11" s="7"/>
      <c r="E11" s="7"/>
      <c r="F11" s="7"/>
      <c r="G11" s="7"/>
      <c r="H11" s="7"/>
      <c r="I11" s="7"/>
    </row>
    <row r="12" spans="1:9" ht="14.25" customHeight="1" x14ac:dyDescent="0.3">
      <c r="A12" s="8"/>
      <c r="B12" s="7"/>
      <c r="C12" s="7"/>
      <c r="D12" s="7"/>
      <c r="E12" s="7"/>
      <c r="F12" s="7"/>
      <c r="G12" s="7"/>
      <c r="H12" s="7"/>
      <c r="I12" s="7"/>
    </row>
    <row r="13" spans="1:9" ht="14.25" customHeight="1" x14ac:dyDescent="0.3">
      <c r="A13" s="8"/>
      <c r="B13" s="7"/>
      <c r="C13" s="7"/>
      <c r="D13" s="7"/>
      <c r="E13" s="7"/>
      <c r="F13" s="7"/>
      <c r="G13" s="7"/>
      <c r="H13" s="7"/>
      <c r="I13" s="7"/>
    </row>
    <row r="14" spans="1:9" ht="14.25" customHeight="1" x14ac:dyDescent="0.3">
      <c r="A14" s="8"/>
      <c r="B14" s="7"/>
      <c r="C14" s="7"/>
      <c r="D14" s="7"/>
      <c r="E14" s="7"/>
      <c r="F14" s="7"/>
      <c r="G14" s="7"/>
      <c r="H14" s="7"/>
      <c r="I14" s="7"/>
    </row>
    <row r="15" spans="1:9" ht="14.25" customHeight="1" x14ac:dyDescent="0.3">
      <c r="A15" s="8"/>
      <c r="B15" s="7"/>
      <c r="C15" s="7"/>
      <c r="D15" s="7"/>
      <c r="E15" s="7"/>
      <c r="F15" s="7"/>
      <c r="G15" s="7"/>
      <c r="H15" s="7"/>
      <c r="I15" s="7"/>
    </row>
    <row r="16" spans="1:9" ht="14.25" customHeight="1" x14ac:dyDescent="0.3">
      <c r="A16" s="8"/>
      <c r="B16" s="7"/>
      <c r="C16" s="7"/>
      <c r="D16" s="7"/>
      <c r="E16" s="7"/>
      <c r="F16" s="7"/>
      <c r="G16" s="7"/>
      <c r="H16" s="7"/>
      <c r="I16" s="7"/>
    </row>
    <row r="17" spans="1:9" ht="14.25" customHeight="1" x14ac:dyDescent="0.3">
      <c r="A17" s="8"/>
      <c r="B17" s="7"/>
      <c r="C17" s="7"/>
      <c r="D17" s="7"/>
      <c r="E17" s="7"/>
      <c r="F17" s="7"/>
      <c r="G17" s="7"/>
      <c r="H17" s="7"/>
      <c r="I17" s="7"/>
    </row>
    <row r="18" spans="1:9" ht="14.25" customHeight="1" x14ac:dyDescent="0.3">
      <c r="A18" s="8"/>
      <c r="B18" s="7"/>
      <c r="C18" s="7"/>
      <c r="D18" s="7"/>
      <c r="E18" s="7"/>
      <c r="F18" s="7"/>
      <c r="G18" s="7"/>
      <c r="H18" s="7"/>
      <c r="I18" s="7"/>
    </row>
    <row r="19" spans="1:9" ht="14.25" customHeight="1" x14ac:dyDescent="0.3">
      <c r="A19" s="8"/>
      <c r="B19" s="7"/>
      <c r="C19" s="7"/>
      <c r="D19" s="7"/>
      <c r="E19" s="7"/>
      <c r="F19" s="7"/>
      <c r="G19" s="7"/>
      <c r="H19" s="7"/>
      <c r="I19" s="7"/>
    </row>
    <row r="20" spans="1:9" ht="14.25" customHeight="1" x14ac:dyDescent="0.3">
      <c r="A20" s="8"/>
      <c r="B20" s="7"/>
      <c r="C20" s="7"/>
      <c r="D20" s="7"/>
      <c r="E20" s="7"/>
      <c r="F20" s="7"/>
      <c r="G20" s="7"/>
      <c r="H20" s="7"/>
      <c r="I20" s="7"/>
    </row>
    <row r="21" spans="1:9" ht="14.25" customHeight="1" x14ac:dyDescent="0.3">
      <c r="A21" s="8"/>
      <c r="B21" s="7"/>
      <c r="C21" s="7"/>
      <c r="D21" s="7"/>
      <c r="E21" s="7"/>
      <c r="F21" s="7"/>
      <c r="G21" s="7"/>
      <c r="H21" s="7"/>
      <c r="I21" s="7"/>
    </row>
    <row r="22" spans="1:9" ht="14.25" customHeight="1" x14ac:dyDescent="0.3">
      <c r="A22" s="8"/>
      <c r="B22" s="7"/>
      <c r="C22" s="7"/>
      <c r="D22" s="7"/>
      <c r="E22" s="7"/>
      <c r="F22" s="7"/>
      <c r="G22" s="7"/>
      <c r="H22" s="7"/>
      <c r="I22" s="7"/>
    </row>
    <row r="23" spans="1:9" ht="14.25" customHeight="1" x14ac:dyDescent="0.3">
      <c r="A23" s="8"/>
      <c r="B23" s="7"/>
      <c r="C23" s="7"/>
      <c r="D23" s="7"/>
      <c r="E23" s="7"/>
      <c r="F23" s="7"/>
      <c r="G23" s="7"/>
      <c r="H23" s="7"/>
      <c r="I23" s="7"/>
    </row>
    <row r="24" spans="1:9" ht="14.25" customHeight="1" x14ac:dyDescent="0.3">
      <c r="A24" s="8"/>
      <c r="B24" s="7"/>
      <c r="C24" s="7"/>
      <c r="D24" s="7"/>
      <c r="E24" s="7"/>
      <c r="F24" s="7"/>
      <c r="G24" s="7"/>
      <c r="H24" s="7"/>
      <c r="I24" s="7"/>
    </row>
    <row r="25" spans="1:9" ht="14.25" customHeight="1" x14ac:dyDescent="0.3">
      <c r="A25" s="8"/>
      <c r="B25" s="7"/>
      <c r="C25" s="7"/>
      <c r="D25" s="7"/>
      <c r="E25" s="7"/>
      <c r="F25" s="7"/>
      <c r="G25" s="7"/>
      <c r="H25" s="7"/>
      <c r="I25" s="7"/>
    </row>
    <row r="26" spans="1:9" ht="14.25" customHeight="1" x14ac:dyDescent="0.3">
      <c r="A26" s="8"/>
      <c r="B26" s="7"/>
      <c r="C26" s="7"/>
      <c r="D26" s="7"/>
      <c r="E26" s="7"/>
      <c r="F26" s="7"/>
      <c r="G26" s="7"/>
      <c r="H26" s="7"/>
      <c r="I26" s="7"/>
    </row>
    <row r="27" spans="1:9" ht="14.25" customHeight="1" x14ac:dyDescent="0.3">
      <c r="A27" s="8"/>
      <c r="B27" s="7"/>
      <c r="C27" s="7"/>
      <c r="D27" s="7"/>
      <c r="E27" s="7"/>
      <c r="F27" s="7"/>
      <c r="G27" s="7"/>
      <c r="H27" s="7"/>
      <c r="I27" s="7"/>
    </row>
    <row r="28" spans="1:9" ht="14.25" customHeight="1" x14ac:dyDescent="0.3">
      <c r="A28" s="8"/>
      <c r="B28" s="7"/>
      <c r="C28" s="7"/>
      <c r="D28" s="7"/>
      <c r="E28" s="7"/>
      <c r="F28" s="7"/>
      <c r="G28" s="7"/>
      <c r="H28" s="7"/>
      <c r="I28" s="7"/>
    </row>
    <row r="29" spans="1:9" ht="14.25" customHeight="1" x14ac:dyDescent="0.3">
      <c r="A29" s="8"/>
      <c r="B29" s="7"/>
      <c r="C29" s="7"/>
      <c r="D29" s="7"/>
      <c r="E29" s="7"/>
      <c r="F29" s="7"/>
      <c r="G29" s="7"/>
      <c r="H29" s="7"/>
      <c r="I29" s="7"/>
    </row>
    <row r="30" spans="1:9" ht="14.25" customHeight="1" x14ac:dyDescent="0.3">
      <c r="A30" s="8"/>
      <c r="B30" s="7"/>
      <c r="C30" s="7"/>
      <c r="D30" s="7"/>
      <c r="E30" s="7"/>
      <c r="F30" s="7"/>
      <c r="G30" s="7"/>
      <c r="H30" s="7"/>
      <c r="I30" s="7"/>
    </row>
    <row r="31" spans="1:9" ht="14.25" customHeight="1" x14ac:dyDescent="0.3">
      <c r="A31" s="8"/>
      <c r="B31" s="7"/>
      <c r="C31" s="7"/>
      <c r="D31" s="7"/>
      <c r="E31" s="7"/>
      <c r="F31" s="7"/>
      <c r="G31" s="7"/>
      <c r="H31" s="7"/>
      <c r="I31" s="7"/>
    </row>
    <row r="32" spans="1:9" ht="14.25" customHeight="1" x14ac:dyDescent="0.3">
      <c r="A32" s="8"/>
      <c r="B32" s="7"/>
      <c r="C32" s="7"/>
      <c r="D32" s="7"/>
      <c r="E32" s="7"/>
      <c r="F32" s="7"/>
      <c r="G32" s="7"/>
      <c r="H32" s="7"/>
      <c r="I32" s="7"/>
    </row>
    <row r="33" spans="1:9" ht="14.25" customHeight="1" x14ac:dyDescent="0.3">
      <c r="A33" s="8"/>
      <c r="B33" s="7"/>
      <c r="C33" s="7"/>
      <c r="D33" s="7"/>
      <c r="E33" s="7"/>
      <c r="F33" s="7"/>
      <c r="G33" s="7"/>
      <c r="H33" s="7"/>
      <c r="I33" s="7"/>
    </row>
    <row r="34" spans="1:9" ht="14.25" customHeight="1" x14ac:dyDescent="0.3">
      <c r="A34" s="8"/>
      <c r="B34" s="7"/>
      <c r="C34" s="7"/>
      <c r="D34" s="7"/>
      <c r="E34" s="7"/>
      <c r="F34" s="7"/>
      <c r="G34" s="7"/>
      <c r="H34" s="7"/>
      <c r="I34" s="7"/>
    </row>
    <row r="35" spans="1:9" ht="14.25" customHeight="1" x14ac:dyDescent="0.3">
      <c r="A35" s="8"/>
      <c r="B35" s="7"/>
      <c r="C35" s="7"/>
      <c r="D35" s="7"/>
      <c r="E35" s="7"/>
      <c r="F35" s="7"/>
      <c r="G35" s="7"/>
      <c r="H35" s="7"/>
      <c r="I35" s="7"/>
    </row>
    <row r="36" spans="1:9" ht="14.25" customHeight="1" x14ac:dyDescent="0.3">
      <c r="A36" s="8"/>
      <c r="B36" s="7"/>
      <c r="C36" s="7"/>
      <c r="D36" s="7"/>
      <c r="E36" s="7"/>
      <c r="F36" s="7"/>
      <c r="G36" s="7"/>
      <c r="H36" s="7"/>
      <c r="I36" s="7"/>
    </row>
    <row r="37" spans="1:9" ht="14.25" customHeight="1" x14ac:dyDescent="0.3">
      <c r="A37" s="8"/>
      <c r="B37" s="7"/>
      <c r="C37" s="7"/>
      <c r="D37" s="7"/>
      <c r="E37" s="7"/>
      <c r="F37" s="7"/>
      <c r="G37" s="7"/>
      <c r="H37" s="7"/>
      <c r="I37" s="7"/>
    </row>
    <row r="38" spans="1:9" ht="14.25" customHeight="1" x14ac:dyDescent="0.3">
      <c r="A38" s="8"/>
      <c r="B38" s="7"/>
      <c r="C38" s="7"/>
      <c r="D38" s="7"/>
      <c r="E38" s="7"/>
      <c r="F38" s="7"/>
      <c r="G38" s="7"/>
      <c r="H38" s="7"/>
      <c r="I38" s="7"/>
    </row>
    <row r="39" spans="1:9" ht="14.25" customHeight="1" x14ac:dyDescent="0.3">
      <c r="A39" s="8"/>
      <c r="B39" s="7"/>
      <c r="C39" s="7"/>
      <c r="D39" s="7"/>
      <c r="E39" s="7"/>
      <c r="F39" s="7"/>
      <c r="G39" s="7"/>
      <c r="H39" s="7"/>
      <c r="I39" s="7"/>
    </row>
    <row r="40" spans="1:9" ht="14.25" customHeight="1" x14ac:dyDescent="0.3">
      <c r="A40" s="8"/>
      <c r="B40" s="7"/>
      <c r="C40" s="7"/>
      <c r="D40" s="7"/>
      <c r="E40" s="7"/>
      <c r="F40" s="7"/>
      <c r="G40" s="7"/>
      <c r="H40" s="7"/>
      <c r="I40" s="7"/>
    </row>
    <row r="41" spans="1:9" ht="14.25" customHeight="1" x14ac:dyDescent="0.3">
      <c r="A41" s="8"/>
      <c r="B41" s="7"/>
      <c r="C41" s="7"/>
      <c r="D41" s="7"/>
      <c r="E41" s="7"/>
      <c r="F41" s="7"/>
      <c r="G41" s="7"/>
      <c r="H41" s="7"/>
      <c r="I41" s="7"/>
    </row>
    <row r="42" spans="1:9" ht="14.25" customHeight="1" x14ac:dyDescent="0.3">
      <c r="A42" s="8"/>
      <c r="B42" s="7"/>
      <c r="C42" s="7"/>
      <c r="D42" s="7"/>
      <c r="E42" s="7"/>
      <c r="F42" s="7"/>
      <c r="G42" s="7"/>
      <c r="H42" s="7"/>
      <c r="I42" s="7"/>
    </row>
    <row r="43" spans="1:9" ht="14.25" customHeight="1" x14ac:dyDescent="0.3">
      <c r="A43" s="8"/>
      <c r="B43" s="7"/>
      <c r="C43" s="7"/>
      <c r="D43" s="7"/>
      <c r="E43" s="7"/>
      <c r="F43" s="7"/>
      <c r="G43" s="7"/>
      <c r="H43" s="7"/>
      <c r="I43" s="7"/>
    </row>
    <row r="44" spans="1:9" ht="14.25" customHeight="1" x14ac:dyDescent="0.3">
      <c r="A44" s="8"/>
      <c r="B44" s="7"/>
      <c r="C44" s="7"/>
      <c r="D44" s="7"/>
      <c r="E44" s="7"/>
      <c r="F44" s="7"/>
      <c r="G44" s="7"/>
      <c r="H44" s="7"/>
      <c r="I44" s="7"/>
    </row>
    <row r="45" spans="1:9" ht="14.25" customHeight="1" x14ac:dyDescent="0.3">
      <c r="A45" s="8"/>
      <c r="B45" s="7"/>
      <c r="C45" s="7"/>
      <c r="D45" s="7"/>
      <c r="E45" s="7"/>
      <c r="F45" s="7"/>
      <c r="G45" s="7"/>
      <c r="H45" s="7"/>
      <c r="I45" s="7"/>
    </row>
    <row r="46" spans="1:9" ht="14.25" customHeight="1" x14ac:dyDescent="0.3">
      <c r="A46" s="8"/>
      <c r="B46" s="7"/>
      <c r="C46" s="7"/>
      <c r="D46" s="7"/>
      <c r="E46" s="7"/>
      <c r="F46" s="7"/>
      <c r="G46" s="7"/>
      <c r="H46" s="7"/>
      <c r="I46" s="7"/>
    </row>
    <row r="47" spans="1:9" ht="14.25" customHeight="1" x14ac:dyDescent="0.3">
      <c r="A47" s="8"/>
      <c r="B47" s="7"/>
      <c r="C47" s="7"/>
      <c r="D47" s="7"/>
      <c r="E47" s="7"/>
      <c r="F47" s="7"/>
      <c r="G47" s="7"/>
      <c r="H47" s="7"/>
      <c r="I47" s="7"/>
    </row>
    <row r="48" spans="1:9" ht="14.25" customHeight="1" x14ac:dyDescent="0.3">
      <c r="A48" s="8"/>
      <c r="B48" s="7"/>
      <c r="C48" s="7"/>
      <c r="D48" s="7"/>
      <c r="E48" s="7"/>
      <c r="F48" s="7"/>
      <c r="G48" s="7"/>
      <c r="H48" s="7"/>
      <c r="I48" s="7"/>
    </row>
    <row r="49" spans="1:9" ht="14.25" customHeight="1" x14ac:dyDescent="0.3">
      <c r="A49" s="8"/>
      <c r="B49" s="7"/>
      <c r="C49" s="7"/>
      <c r="D49" s="7"/>
      <c r="E49" s="7"/>
      <c r="F49" s="7"/>
      <c r="G49" s="7"/>
      <c r="H49" s="7"/>
      <c r="I49" s="7"/>
    </row>
    <row r="50" spans="1:9" ht="14.25" customHeight="1" x14ac:dyDescent="0.3">
      <c r="A50" s="8"/>
      <c r="B50" s="7"/>
      <c r="C50" s="7"/>
      <c r="D50" s="7"/>
      <c r="E50" s="7"/>
      <c r="F50" s="7"/>
      <c r="G50" s="7"/>
      <c r="H50" s="7"/>
      <c r="I50" s="7"/>
    </row>
    <row r="51" spans="1:9" ht="14.25" customHeight="1" x14ac:dyDescent="0.3">
      <c r="A51" s="8"/>
      <c r="B51" s="7"/>
      <c r="C51" s="7"/>
      <c r="D51" s="7"/>
      <c r="E51" s="7"/>
      <c r="F51" s="7"/>
      <c r="G51" s="7"/>
      <c r="H51" s="7"/>
      <c r="I51" s="7"/>
    </row>
    <row r="52" spans="1:9" ht="14.25" customHeight="1" x14ac:dyDescent="0.3">
      <c r="A52" s="8"/>
      <c r="B52" s="7"/>
      <c r="C52" s="7"/>
      <c r="D52" s="7"/>
      <c r="E52" s="7"/>
      <c r="F52" s="7"/>
      <c r="G52" s="7"/>
      <c r="H52" s="7"/>
      <c r="I52" s="7"/>
    </row>
    <row r="53" spans="1:9" ht="14.25" customHeight="1" x14ac:dyDescent="0.3">
      <c r="A53" s="8"/>
      <c r="B53" s="7"/>
      <c r="C53" s="7"/>
      <c r="D53" s="7"/>
      <c r="E53" s="7"/>
      <c r="F53" s="7"/>
      <c r="G53" s="7"/>
      <c r="H53" s="7"/>
      <c r="I53" s="7"/>
    </row>
    <row r="54" spans="1:9" ht="14.25" customHeight="1" x14ac:dyDescent="0.3">
      <c r="A54" s="8"/>
      <c r="B54" s="7"/>
      <c r="C54" s="7"/>
      <c r="D54" s="7"/>
      <c r="E54" s="7"/>
      <c r="F54" s="7"/>
      <c r="G54" s="7"/>
      <c r="H54" s="7"/>
      <c r="I54" s="7"/>
    </row>
    <row r="55" spans="1:9" ht="14.25" customHeight="1" x14ac:dyDescent="0.3">
      <c r="A55" s="8"/>
      <c r="B55" s="7"/>
      <c r="C55" s="7"/>
      <c r="D55" s="7"/>
      <c r="E55" s="7"/>
      <c r="F55" s="7"/>
      <c r="G55" s="7"/>
      <c r="H55" s="7"/>
      <c r="I55" s="7"/>
    </row>
    <row r="56" spans="1:9" ht="14.25" customHeight="1" x14ac:dyDescent="0.3">
      <c r="A56" s="8"/>
      <c r="B56" s="7"/>
      <c r="C56" s="7"/>
      <c r="D56" s="7"/>
      <c r="E56" s="7"/>
      <c r="F56" s="7"/>
      <c r="G56" s="7"/>
      <c r="H56" s="7"/>
      <c r="I56" s="7"/>
    </row>
    <row r="57" spans="1:9" ht="14.25" customHeight="1" x14ac:dyDescent="0.3">
      <c r="A57" s="8"/>
      <c r="B57" s="7"/>
      <c r="C57" s="7"/>
      <c r="D57" s="7"/>
      <c r="E57" s="7"/>
      <c r="F57" s="7"/>
      <c r="G57" s="7"/>
      <c r="H57" s="7"/>
      <c r="I57" s="7"/>
    </row>
    <row r="58" spans="1:9" ht="14.25" customHeight="1" x14ac:dyDescent="0.3">
      <c r="A58" s="8"/>
      <c r="B58" s="7"/>
      <c r="C58" s="7"/>
      <c r="D58" s="7"/>
      <c r="E58" s="7"/>
      <c r="F58" s="7"/>
      <c r="G58" s="7"/>
      <c r="H58" s="7"/>
      <c r="I58" s="7"/>
    </row>
    <row r="59" spans="1:9" ht="14.25" customHeight="1" x14ac:dyDescent="0.3">
      <c r="A59" s="8"/>
      <c r="B59" s="7"/>
      <c r="C59" s="7"/>
      <c r="D59" s="7"/>
      <c r="E59" s="7"/>
      <c r="F59" s="7"/>
      <c r="G59" s="7"/>
      <c r="H59" s="7"/>
      <c r="I59" s="7"/>
    </row>
    <row r="60" spans="1:9" ht="14.25" customHeight="1" x14ac:dyDescent="0.3">
      <c r="A60" s="8"/>
      <c r="B60" s="7"/>
      <c r="C60" s="7"/>
      <c r="D60" s="7"/>
      <c r="E60" s="7"/>
      <c r="F60" s="7"/>
      <c r="G60" s="7"/>
      <c r="H60" s="7"/>
      <c r="I60" s="7"/>
    </row>
    <row r="61" spans="1:9" ht="14.25" customHeight="1" x14ac:dyDescent="0.3">
      <c r="A61" s="8"/>
      <c r="B61" s="7"/>
      <c r="C61" s="7"/>
      <c r="D61" s="7"/>
      <c r="E61" s="7"/>
      <c r="F61" s="7"/>
      <c r="G61" s="7"/>
      <c r="H61" s="7"/>
      <c r="I61" s="7"/>
    </row>
    <row r="62" spans="1:9" ht="14.25" customHeight="1" x14ac:dyDescent="0.3">
      <c r="A62" s="8"/>
      <c r="B62" s="7"/>
      <c r="C62" s="7"/>
      <c r="D62" s="7"/>
      <c r="E62" s="7"/>
      <c r="F62" s="7"/>
      <c r="G62" s="7"/>
      <c r="H62" s="7"/>
      <c r="I62" s="7"/>
    </row>
    <row r="63" spans="1:9" ht="14.25" customHeight="1" x14ac:dyDescent="0.3">
      <c r="A63" s="8"/>
      <c r="B63" s="7"/>
      <c r="C63" s="7"/>
      <c r="D63" s="7"/>
      <c r="E63" s="7"/>
      <c r="F63" s="7"/>
      <c r="G63" s="7"/>
      <c r="H63" s="7"/>
      <c r="I63" s="7"/>
    </row>
    <row r="64" spans="1:9" ht="14.25" customHeight="1" x14ac:dyDescent="0.3">
      <c r="A64" s="8"/>
      <c r="B64" s="7"/>
      <c r="C64" s="7"/>
      <c r="D64" s="7"/>
      <c r="E64" s="7"/>
      <c r="F64" s="7"/>
      <c r="G64" s="7"/>
      <c r="H64" s="7"/>
      <c r="I64" s="7"/>
    </row>
    <row r="65" spans="1:9" ht="14.25" customHeight="1" x14ac:dyDescent="0.3">
      <c r="A65" s="8"/>
      <c r="B65" s="7"/>
      <c r="C65" s="7"/>
      <c r="D65" s="7"/>
      <c r="E65" s="7"/>
      <c r="F65" s="7"/>
      <c r="G65" s="7"/>
      <c r="H65" s="7"/>
      <c r="I65" s="7"/>
    </row>
    <row r="66" spans="1:9" ht="14.25" customHeight="1" x14ac:dyDescent="0.3">
      <c r="A66" s="8"/>
      <c r="B66" s="7"/>
      <c r="C66" s="7"/>
      <c r="D66" s="7"/>
      <c r="E66" s="7"/>
      <c r="F66" s="7"/>
      <c r="G66" s="7"/>
      <c r="H66" s="7"/>
      <c r="I66" s="7"/>
    </row>
    <row r="67" spans="1:9" ht="14.25" customHeight="1" x14ac:dyDescent="0.3">
      <c r="A67" s="8"/>
      <c r="B67" s="7"/>
      <c r="C67" s="7"/>
      <c r="D67" s="7"/>
      <c r="E67" s="7"/>
      <c r="F67" s="7"/>
      <c r="G67" s="7"/>
      <c r="H67" s="7"/>
      <c r="I67" s="7"/>
    </row>
    <row r="68" spans="1:9" ht="14.25" customHeight="1" x14ac:dyDescent="0.3">
      <c r="A68" s="8"/>
      <c r="B68" s="7"/>
      <c r="C68" s="7"/>
      <c r="D68" s="7"/>
      <c r="E68" s="7"/>
      <c r="F68" s="7"/>
      <c r="G68" s="7"/>
      <c r="H68" s="7"/>
      <c r="I68" s="7"/>
    </row>
    <row r="69" spans="1:9" ht="14.25" customHeight="1" x14ac:dyDescent="0.3">
      <c r="A69" s="8"/>
      <c r="B69" s="7"/>
      <c r="C69" s="7"/>
      <c r="D69" s="7"/>
      <c r="E69" s="7"/>
      <c r="F69" s="7"/>
      <c r="G69" s="7"/>
      <c r="H69" s="7"/>
      <c r="I69" s="7"/>
    </row>
    <row r="70" spans="1:9" ht="14.25" customHeight="1" x14ac:dyDescent="0.3">
      <c r="A70" s="8"/>
      <c r="B70" s="7"/>
      <c r="C70" s="7"/>
      <c r="D70" s="7"/>
      <c r="E70" s="7"/>
      <c r="F70" s="7"/>
      <c r="G70" s="7"/>
      <c r="H70" s="7"/>
      <c r="I70" s="7"/>
    </row>
    <row r="71" spans="1:9" ht="14.25" customHeight="1" x14ac:dyDescent="0.3">
      <c r="A71" s="8"/>
      <c r="B71" s="7"/>
      <c r="C71" s="7"/>
      <c r="D71" s="7"/>
      <c r="E71" s="7"/>
      <c r="F71" s="7"/>
      <c r="G71" s="7"/>
      <c r="H71" s="7"/>
      <c r="I71" s="7"/>
    </row>
    <row r="72" spans="1:9" ht="14.25" customHeight="1" x14ac:dyDescent="0.3">
      <c r="A72" s="8"/>
      <c r="B72" s="7"/>
      <c r="C72" s="7"/>
      <c r="D72" s="7"/>
      <c r="E72" s="7"/>
      <c r="F72" s="7"/>
      <c r="G72" s="7"/>
      <c r="H72" s="7"/>
      <c r="I72" s="7"/>
    </row>
    <row r="73" spans="1:9" ht="14.25" customHeight="1" x14ac:dyDescent="0.3">
      <c r="A73" s="8"/>
      <c r="B73" s="7"/>
      <c r="C73" s="7"/>
      <c r="D73" s="7"/>
      <c r="E73" s="7"/>
      <c r="F73" s="7"/>
      <c r="G73" s="7"/>
      <c r="H73" s="7"/>
      <c r="I73" s="7"/>
    </row>
    <row r="74" spans="1:9" ht="14.25" customHeight="1" x14ac:dyDescent="0.3">
      <c r="A74" s="8"/>
      <c r="B74" s="7"/>
      <c r="C74" s="7"/>
      <c r="D74" s="7"/>
      <c r="E74" s="7"/>
      <c r="F74" s="7"/>
      <c r="G74" s="7"/>
      <c r="H74" s="7"/>
      <c r="I74" s="7"/>
    </row>
    <row r="75" spans="1:9" ht="14.25" customHeight="1" x14ac:dyDescent="0.3">
      <c r="A75" s="8"/>
      <c r="B75" s="7"/>
      <c r="C75" s="7"/>
      <c r="D75" s="7"/>
      <c r="E75" s="7"/>
      <c r="F75" s="7"/>
      <c r="G75" s="7"/>
      <c r="H75" s="7"/>
      <c r="I75" s="7"/>
    </row>
    <row r="76" spans="1:9" ht="14.25" customHeight="1" x14ac:dyDescent="0.3">
      <c r="A76" s="8"/>
      <c r="B76" s="7"/>
      <c r="C76" s="7"/>
      <c r="D76" s="7"/>
      <c r="E76" s="7"/>
      <c r="F76" s="7"/>
      <c r="G76" s="7"/>
      <c r="H76" s="7"/>
      <c r="I76" s="7"/>
    </row>
    <row r="77" spans="1:9" ht="14.25" customHeight="1" x14ac:dyDescent="0.3">
      <c r="A77" s="8"/>
      <c r="B77" s="7"/>
      <c r="C77" s="7"/>
      <c r="D77" s="7"/>
      <c r="E77" s="7"/>
      <c r="F77" s="7"/>
      <c r="G77" s="7"/>
      <c r="H77" s="7"/>
      <c r="I77" s="7"/>
    </row>
    <row r="78" spans="1:9" ht="14.25" customHeight="1" x14ac:dyDescent="0.3">
      <c r="A78" s="8"/>
      <c r="B78" s="7"/>
      <c r="C78" s="7"/>
      <c r="D78" s="7"/>
      <c r="E78" s="7"/>
      <c r="F78" s="7"/>
      <c r="G78" s="7"/>
      <c r="H78" s="7"/>
      <c r="I78" s="7"/>
    </row>
    <row r="79" spans="1:9" ht="14.25" customHeight="1" x14ac:dyDescent="0.3">
      <c r="A79" s="8"/>
      <c r="B79" s="7"/>
      <c r="C79" s="7"/>
      <c r="D79" s="7"/>
      <c r="E79" s="7"/>
      <c r="F79" s="7"/>
      <c r="G79" s="7"/>
      <c r="H79" s="7"/>
      <c r="I79" s="7"/>
    </row>
    <row r="80" spans="1:9" ht="14.25" customHeight="1" x14ac:dyDescent="0.3">
      <c r="A80" s="8"/>
      <c r="B80" s="7"/>
      <c r="C80" s="7"/>
      <c r="D80" s="7"/>
      <c r="E80" s="7"/>
      <c r="F80" s="7"/>
      <c r="G80" s="7"/>
      <c r="H80" s="7"/>
      <c r="I80" s="7"/>
    </row>
    <row r="81" spans="1:9" ht="14.25" customHeight="1" x14ac:dyDescent="0.3">
      <c r="A81" s="8"/>
      <c r="B81" s="7"/>
      <c r="C81" s="7"/>
      <c r="D81" s="7"/>
      <c r="E81" s="7"/>
      <c r="F81" s="7"/>
      <c r="G81" s="7"/>
      <c r="H81" s="7"/>
      <c r="I81" s="7"/>
    </row>
    <row r="82" spans="1:9" ht="14.25" customHeight="1" x14ac:dyDescent="0.3">
      <c r="A82" s="8"/>
      <c r="B82" s="7"/>
      <c r="C82" s="7"/>
      <c r="D82" s="7"/>
      <c r="E82" s="7"/>
      <c r="F82" s="7"/>
      <c r="G82" s="7"/>
      <c r="H82" s="7"/>
      <c r="I82" s="7"/>
    </row>
    <row r="83" spans="1:9" ht="14.25" customHeight="1" x14ac:dyDescent="0.3">
      <c r="A83" s="8"/>
      <c r="B83" s="7"/>
      <c r="C83" s="7"/>
      <c r="D83" s="7"/>
      <c r="E83" s="7"/>
      <c r="F83" s="7"/>
      <c r="G83" s="7"/>
      <c r="H83" s="7"/>
      <c r="I83" s="7"/>
    </row>
    <row r="84" spans="1:9" ht="14.25" customHeight="1" x14ac:dyDescent="0.3">
      <c r="A84" s="8"/>
      <c r="B84" s="7"/>
      <c r="C84" s="7"/>
      <c r="D84" s="7"/>
      <c r="E84" s="7"/>
      <c r="F84" s="7"/>
      <c r="G84" s="7"/>
      <c r="H84" s="7"/>
      <c r="I84" s="7"/>
    </row>
    <row r="85" spans="1:9" ht="14.25" customHeight="1" x14ac:dyDescent="0.3">
      <c r="A85" s="8"/>
      <c r="B85" s="7"/>
      <c r="C85" s="7"/>
      <c r="D85" s="7"/>
      <c r="E85" s="7"/>
      <c r="F85" s="7"/>
      <c r="G85" s="7"/>
      <c r="H85" s="7"/>
      <c r="I85" s="7"/>
    </row>
    <row r="86" spans="1:9" ht="14.25" customHeight="1" x14ac:dyDescent="0.3">
      <c r="A86" s="8"/>
      <c r="B86" s="7"/>
      <c r="C86" s="7"/>
      <c r="D86" s="7"/>
      <c r="E86" s="7"/>
      <c r="F86" s="7"/>
      <c r="G86" s="7"/>
      <c r="H86" s="7"/>
      <c r="I86" s="7"/>
    </row>
    <row r="87" spans="1:9" ht="14.25" customHeight="1" x14ac:dyDescent="0.3">
      <c r="A87" s="8"/>
      <c r="B87" s="7"/>
      <c r="C87" s="7"/>
      <c r="D87" s="7"/>
      <c r="E87" s="7"/>
      <c r="F87" s="7"/>
      <c r="G87" s="7"/>
      <c r="H87" s="7"/>
      <c r="I87" s="7"/>
    </row>
    <row r="88" spans="1:9" ht="14.25" customHeight="1" x14ac:dyDescent="0.3">
      <c r="A88" s="8"/>
      <c r="B88" s="7"/>
      <c r="C88" s="7"/>
      <c r="D88" s="7"/>
      <c r="E88" s="7"/>
      <c r="F88" s="7"/>
      <c r="G88" s="7"/>
      <c r="H88" s="7"/>
      <c r="I88" s="7"/>
    </row>
    <row r="89" spans="1:9" ht="14.25" customHeight="1" x14ac:dyDescent="0.3">
      <c r="A89" s="8"/>
      <c r="B89" s="7"/>
      <c r="C89" s="7"/>
      <c r="D89" s="7"/>
      <c r="E89" s="7"/>
      <c r="F89" s="7"/>
      <c r="G89" s="7"/>
      <c r="H89" s="7"/>
      <c r="I89" s="7"/>
    </row>
    <row r="90" spans="1:9" ht="14.25" customHeight="1" x14ac:dyDescent="0.3">
      <c r="A90" s="8"/>
      <c r="B90" s="7"/>
      <c r="C90" s="7"/>
      <c r="D90" s="7"/>
      <c r="E90" s="7"/>
      <c r="F90" s="7"/>
      <c r="G90" s="7"/>
      <c r="H90" s="7"/>
      <c r="I90" s="7"/>
    </row>
    <row r="91" spans="1:9" ht="14.25" customHeight="1" x14ac:dyDescent="0.3">
      <c r="A91" s="8"/>
      <c r="B91" s="7"/>
      <c r="C91" s="7"/>
      <c r="D91" s="7"/>
      <c r="E91" s="7"/>
      <c r="F91" s="7"/>
      <c r="G91" s="7"/>
      <c r="H91" s="7"/>
      <c r="I91" s="7"/>
    </row>
    <row r="92" spans="1:9" ht="14.25" customHeight="1" x14ac:dyDescent="0.3">
      <c r="A92" s="8"/>
      <c r="B92" s="7"/>
      <c r="C92" s="7"/>
      <c r="D92" s="7"/>
      <c r="E92" s="7"/>
      <c r="F92" s="7"/>
      <c r="G92" s="7"/>
      <c r="H92" s="7"/>
      <c r="I92" s="7"/>
    </row>
    <row r="93" spans="1:9" ht="14.25" customHeight="1" x14ac:dyDescent="0.3">
      <c r="A93" s="8"/>
      <c r="B93" s="7"/>
      <c r="C93" s="7"/>
      <c r="D93" s="7"/>
      <c r="E93" s="7"/>
      <c r="F93" s="7"/>
      <c r="G93" s="7"/>
      <c r="H93" s="7"/>
      <c r="I93" s="7"/>
    </row>
    <row r="94" spans="1:9" ht="14.25" customHeight="1" x14ac:dyDescent="0.3">
      <c r="A94" s="8"/>
      <c r="B94" s="7"/>
      <c r="C94" s="7"/>
      <c r="D94" s="7"/>
      <c r="E94" s="7"/>
      <c r="F94" s="7"/>
      <c r="G94" s="7"/>
      <c r="H94" s="7"/>
      <c r="I94" s="7"/>
    </row>
    <row r="95" spans="1:9" ht="14.25" customHeight="1" x14ac:dyDescent="0.3">
      <c r="A95" s="8"/>
      <c r="B95" s="7"/>
      <c r="C95" s="7"/>
      <c r="D95" s="7"/>
      <c r="E95" s="7"/>
      <c r="F95" s="7"/>
      <c r="G95" s="7"/>
      <c r="H95" s="7"/>
      <c r="I95" s="7"/>
    </row>
    <row r="96" spans="1:9" ht="14.25" customHeight="1" x14ac:dyDescent="0.3">
      <c r="A96" s="8"/>
      <c r="B96" s="7"/>
      <c r="C96" s="7"/>
      <c r="D96" s="7"/>
      <c r="E96" s="7"/>
      <c r="F96" s="7"/>
      <c r="G96" s="7"/>
      <c r="H96" s="7"/>
      <c r="I96" s="7"/>
    </row>
    <row r="97" spans="1:9" ht="14.25" customHeight="1" x14ac:dyDescent="0.3">
      <c r="A97" s="8"/>
      <c r="B97" s="7"/>
      <c r="C97" s="7"/>
      <c r="D97" s="7"/>
      <c r="E97" s="7"/>
      <c r="F97" s="7"/>
      <c r="G97" s="7"/>
      <c r="H97" s="7"/>
      <c r="I97" s="7"/>
    </row>
    <row r="98" spans="1:9" ht="14.25" customHeight="1" x14ac:dyDescent="0.3">
      <c r="A98" s="8"/>
      <c r="B98" s="7"/>
      <c r="C98" s="7"/>
      <c r="D98" s="7"/>
      <c r="E98" s="7"/>
      <c r="F98" s="7"/>
      <c r="G98" s="7"/>
      <c r="H98" s="7"/>
      <c r="I98" s="7"/>
    </row>
    <row r="99" spans="1:9" ht="14.25" customHeight="1" x14ac:dyDescent="0.3">
      <c r="A99" s="8"/>
      <c r="B99" s="7"/>
      <c r="C99" s="7"/>
      <c r="D99" s="7"/>
      <c r="E99" s="7"/>
      <c r="F99" s="7"/>
      <c r="G99" s="7"/>
      <c r="H99" s="7"/>
      <c r="I99" s="7"/>
    </row>
    <row r="100" spans="1:9" ht="14.25" customHeight="1" x14ac:dyDescent="0.3">
      <c r="A100" s="8"/>
      <c r="B100" s="7"/>
      <c r="C100" s="7"/>
      <c r="D100" s="7"/>
      <c r="E100" s="7"/>
      <c r="F100" s="7"/>
      <c r="G100" s="7"/>
      <c r="H100" s="7"/>
      <c r="I100" s="7"/>
    </row>
    <row r="101" spans="1:9" ht="14.25" customHeight="1" x14ac:dyDescent="0.3">
      <c r="A101" s="8"/>
      <c r="B101" s="7"/>
      <c r="C101" s="7"/>
      <c r="D101" s="7"/>
      <c r="E101" s="7"/>
      <c r="F101" s="7"/>
      <c r="G101" s="7"/>
      <c r="H101" s="7"/>
      <c r="I101" s="7"/>
    </row>
  </sheetData>
  <mergeCells count="1">
    <mergeCell ref="A1:I1"/>
  </mergeCells>
  <dataValidations count="2">
    <dataValidation type="list" sqref="B3:B101" xr:uid="{00000000-0002-0000-0400-000000000000}">
      <formula1>"Unit 1 / Phase 1,Phase 2,Phase 3,Final"</formula1>
      <formula2>0</formula2>
    </dataValidation>
    <dataValidation type="list" sqref="C3:C101" xr:uid="{00000000-0002-0000-0400-000001000000}">
      <formula1>"Meeting,Telephone Call,Online Meeting,Email,Site Visit,Other"</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C3" zoomScale="118" zoomScaleNormal="85" workbookViewId="0">
      <selection activeCell="H8" sqref="H8"/>
    </sheetView>
  </sheetViews>
  <sheetFormatPr defaultColWidth="8.77734375" defaultRowHeight="14.4" x14ac:dyDescent="0.3"/>
  <cols>
    <col min="1" max="1" width="14.88671875" customWidth="1"/>
    <col min="2" max="2" width="19" customWidth="1"/>
    <col min="3" max="4" width="34" customWidth="1"/>
    <col min="5" max="5" width="37.88671875" customWidth="1"/>
    <col min="6" max="6" width="24" customWidth="1"/>
    <col min="7" max="8" width="14" customWidth="1"/>
  </cols>
  <sheetData>
    <row r="1" spans="1:8" ht="19.5" customHeight="1" x14ac:dyDescent="0.3">
      <c r="A1" s="12" t="s">
        <v>168</v>
      </c>
      <c r="B1" s="12"/>
      <c r="C1" s="12"/>
      <c r="D1" s="12"/>
      <c r="E1" s="12"/>
      <c r="F1" s="12"/>
      <c r="G1" s="12"/>
      <c r="H1" s="12"/>
    </row>
    <row r="2" spans="1:8" ht="14.25" customHeight="1" x14ac:dyDescent="0.3">
      <c r="A2" s="1" t="s">
        <v>169</v>
      </c>
      <c r="B2" s="1" t="s">
        <v>72</v>
      </c>
      <c r="C2" s="1" t="s">
        <v>170</v>
      </c>
      <c r="D2" s="1" t="s">
        <v>171</v>
      </c>
      <c r="E2" s="1" t="s">
        <v>172</v>
      </c>
      <c r="F2" s="1" t="s">
        <v>173</v>
      </c>
      <c r="G2" s="1" t="s">
        <v>174</v>
      </c>
      <c r="H2" s="1" t="s">
        <v>78</v>
      </c>
    </row>
    <row r="3" spans="1:8" ht="72" customHeight="1" x14ac:dyDescent="0.3">
      <c r="A3" s="8"/>
      <c r="B3" s="7" t="s">
        <v>32</v>
      </c>
      <c r="C3" s="7" t="s">
        <v>175</v>
      </c>
      <c r="D3" s="7" t="s">
        <v>176</v>
      </c>
      <c r="E3" s="7" t="s">
        <v>177</v>
      </c>
      <c r="F3" s="7" t="s">
        <v>87</v>
      </c>
      <c r="G3" s="8"/>
      <c r="H3" s="7" t="s">
        <v>178</v>
      </c>
    </row>
    <row r="4" spans="1:8" ht="42.75" customHeight="1" x14ac:dyDescent="0.3">
      <c r="A4" s="8"/>
      <c r="B4" s="7" t="s">
        <v>32</v>
      </c>
      <c r="C4" s="7" t="s">
        <v>179</v>
      </c>
      <c r="D4" s="7" t="s">
        <v>180</v>
      </c>
      <c r="E4" s="7" t="s">
        <v>181</v>
      </c>
      <c r="F4" s="7" t="s">
        <v>87</v>
      </c>
      <c r="G4" s="8"/>
      <c r="H4" s="7" t="s">
        <v>178</v>
      </c>
    </row>
    <row r="5" spans="1:8" ht="14.25" customHeight="1" x14ac:dyDescent="0.3">
      <c r="A5" s="8"/>
      <c r="B5" s="7"/>
      <c r="C5" s="7"/>
      <c r="D5" s="7"/>
      <c r="E5" s="7"/>
      <c r="F5" s="7"/>
      <c r="G5" s="8"/>
      <c r="H5" s="7"/>
    </row>
    <row r="6" spans="1:8" ht="14.25" customHeight="1" x14ac:dyDescent="0.3">
      <c r="A6" s="8"/>
      <c r="B6" s="7" t="s">
        <v>34</v>
      </c>
      <c r="C6" s="7" t="s">
        <v>227</v>
      </c>
      <c r="D6" s="7" t="s">
        <v>228</v>
      </c>
      <c r="E6" s="7" t="s">
        <v>229</v>
      </c>
      <c r="F6" s="7" t="s">
        <v>87</v>
      </c>
      <c r="G6" s="8" t="s">
        <v>246</v>
      </c>
      <c r="H6" s="7" t="s">
        <v>178</v>
      </c>
    </row>
    <row r="7" spans="1:8" ht="14.25" customHeight="1" x14ac:dyDescent="0.3">
      <c r="A7" s="8"/>
      <c r="B7" s="7" t="s">
        <v>34</v>
      </c>
      <c r="C7" s="7" t="s">
        <v>261</v>
      </c>
      <c r="D7" s="7" t="s">
        <v>262</v>
      </c>
      <c r="E7" s="7" t="s">
        <v>263</v>
      </c>
      <c r="F7" s="7" t="s">
        <v>87</v>
      </c>
      <c r="G7" s="8" t="s">
        <v>264</v>
      </c>
      <c r="H7" s="7" t="s">
        <v>178</v>
      </c>
    </row>
    <row r="8" spans="1:8" ht="14.25" customHeight="1" x14ac:dyDescent="0.3">
      <c r="A8" s="8"/>
      <c r="B8" s="7" t="s">
        <v>36</v>
      </c>
      <c r="C8" s="7" t="s">
        <v>337</v>
      </c>
      <c r="D8" s="7" t="s">
        <v>338</v>
      </c>
      <c r="E8" s="7" t="s">
        <v>339</v>
      </c>
      <c r="F8" s="7" t="s">
        <v>340</v>
      </c>
      <c r="G8" s="8" t="s">
        <v>341</v>
      </c>
      <c r="H8" s="7" t="s">
        <v>178</v>
      </c>
    </row>
    <row r="9" spans="1:8" ht="14.25" customHeight="1" x14ac:dyDescent="0.3">
      <c r="A9" s="8"/>
      <c r="B9" s="7"/>
      <c r="C9" s="7"/>
      <c r="D9" s="7"/>
      <c r="E9" s="7"/>
      <c r="F9" s="7"/>
      <c r="G9" s="8"/>
      <c r="H9" s="7"/>
    </row>
    <row r="10" spans="1:8" ht="14.25" customHeight="1" x14ac:dyDescent="0.3">
      <c r="A10" s="8"/>
      <c r="B10" s="7"/>
      <c r="C10" s="7"/>
      <c r="D10" s="7"/>
      <c r="E10" s="7"/>
      <c r="F10" s="7"/>
      <c r="G10" s="8"/>
      <c r="H10" s="7"/>
    </row>
    <row r="11" spans="1:8" ht="14.25" customHeight="1" x14ac:dyDescent="0.3">
      <c r="A11" s="8"/>
      <c r="B11" s="7"/>
      <c r="C11" s="7"/>
      <c r="D11" s="7"/>
      <c r="E11" s="7"/>
      <c r="F11" s="7"/>
      <c r="G11" s="8"/>
      <c r="H11" s="7"/>
    </row>
    <row r="12" spans="1:8" ht="14.25" customHeight="1" x14ac:dyDescent="0.3">
      <c r="A12" s="8"/>
      <c r="B12" s="7"/>
      <c r="C12" s="7"/>
      <c r="D12" s="7"/>
      <c r="E12" s="7"/>
      <c r="F12" s="7"/>
      <c r="G12" s="8"/>
      <c r="H12" s="7"/>
    </row>
    <row r="13" spans="1:8" ht="14.25" customHeight="1" x14ac:dyDescent="0.3">
      <c r="A13" s="8"/>
      <c r="B13" s="7"/>
      <c r="C13" s="7"/>
      <c r="D13" s="7"/>
      <c r="E13" s="7"/>
      <c r="F13" s="7"/>
      <c r="G13" s="8"/>
      <c r="H13" s="7"/>
    </row>
    <row r="14" spans="1:8" ht="14.25" customHeight="1" x14ac:dyDescent="0.3">
      <c r="A14" s="8"/>
      <c r="B14" s="7"/>
      <c r="C14" s="7"/>
      <c r="D14" s="7"/>
      <c r="E14" s="7"/>
      <c r="F14" s="7"/>
      <c r="G14" s="8"/>
      <c r="H14" s="7"/>
    </row>
    <row r="15" spans="1:8" ht="14.25" customHeight="1" x14ac:dyDescent="0.3">
      <c r="A15" s="8"/>
      <c r="B15" s="7"/>
      <c r="C15" s="7"/>
      <c r="D15" s="7"/>
      <c r="E15" s="7"/>
      <c r="F15" s="7"/>
      <c r="G15" s="8"/>
      <c r="H15" s="7"/>
    </row>
    <row r="16" spans="1:8" ht="14.25" customHeight="1" x14ac:dyDescent="0.3">
      <c r="A16" s="8"/>
      <c r="B16" s="7"/>
      <c r="C16" s="7"/>
      <c r="D16" s="7"/>
      <c r="E16" s="7"/>
      <c r="F16" s="7"/>
      <c r="G16" s="8"/>
      <c r="H16" s="7"/>
    </row>
    <row r="17" spans="1:8" ht="14.25" customHeight="1" x14ac:dyDescent="0.3">
      <c r="A17" s="8"/>
      <c r="B17" s="7"/>
      <c r="C17" s="7"/>
      <c r="D17" s="7"/>
      <c r="E17" s="7"/>
      <c r="F17" s="7"/>
      <c r="G17" s="8"/>
      <c r="H17" s="7"/>
    </row>
    <row r="18" spans="1:8" ht="14.25" customHeight="1" x14ac:dyDescent="0.3">
      <c r="A18" s="8"/>
      <c r="B18" s="7"/>
      <c r="C18" s="7"/>
      <c r="D18" s="7"/>
      <c r="E18" s="7"/>
      <c r="F18" s="7"/>
      <c r="G18" s="8"/>
      <c r="H18" s="7"/>
    </row>
    <row r="19" spans="1:8" ht="14.25" customHeight="1" x14ac:dyDescent="0.3">
      <c r="A19" s="8"/>
      <c r="B19" s="7"/>
      <c r="C19" s="7"/>
      <c r="D19" s="7"/>
      <c r="E19" s="7"/>
      <c r="F19" s="7"/>
      <c r="G19" s="8"/>
      <c r="H19" s="7"/>
    </row>
    <row r="20" spans="1:8" ht="14.25" customHeight="1" x14ac:dyDescent="0.3">
      <c r="A20" s="8"/>
      <c r="B20" s="7"/>
      <c r="C20" s="7"/>
      <c r="D20" s="7"/>
      <c r="E20" s="7"/>
      <c r="F20" s="7"/>
      <c r="G20" s="8"/>
      <c r="H20" s="7"/>
    </row>
    <row r="21" spans="1:8" ht="14.25" customHeight="1" x14ac:dyDescent="0.3">
      <c r="A21" s="8"/>
      <c r="B21" s="7"/>
      <c r="C21" s="7"/>
      <c r="D21" s="7"/>
      <c r="E21" s="7"/>
      <c r="F21" s="7"/>
      <c r="G21" s="8"/>
      <c r="H21" s="7"/>
    </row>
    <row r="22" spans="1:8" ht="14.25" customHeight="1" x14ac:dyDescent="0.3">
      <c r="A22" s="8"/>
      <c r="B22" s="7"/>
      <c r="C22" s="7"/>
      <c r="D22" s="7"/>
      <c r="E22" s="7"/>
      <c r="F22" s="7"/>
      <c r="G22" s="8"/>
      <c r="H22" s="7"/>
    </row>
    <row r="23" spans="1:8" ht="14.25" customHeight="1" x14ac:dyDescent="0.3">
      <c r="A23" s="8"/>
      <c r="B23" s="7"/>
      <c r="C23" s="7"/>
      <c r="D23" s="7"/>
      <c r="E23" s="7"/>
      <c r="F23" s="7"/>
      <c r="G23" s="8"/>
      <c r="H23" s="7"/>
    </row>
    <row r="24" spans="1:8" ht="14.25" customHeight="1" x14ac:dyDescent="0.3">
      <c r="A24" s="8"/>
      <c r="B24" s="7"/>
      <c r="C24" s="7"/>
      <c r="D24" s="7"/>
      <c r="E24" s="7"/>
      <c r="F24" s="7"/>
      <c r="G24" s="8"/>
      <c r="H24" s="7"/>
    </row>
    <row r="25" spans="1:8" ht="14.25" customHeight="1" x14ac:dyDescent="0.3">
      <c r="A25" s="8"/>
      <c r="B25" s="7"/>
      <c r="C25" s="7"/>
      <c r="D25" s="7"/>
      <c r="E25" s="7"/>
      <c r="F25" s="7"/>
      <c r="G25" s="8"/>
      <c r="H25" s="7"/>
    </row>
    <row r="26" spans="1:8" ht="14.25" customHeight="1" x14ac:dyDescent="0.3">
      <c r="A26" s="8"/>
      <c r="B26" s="7"/>
      <c r="C26" s="7"/>
      <c r="D26" s="7"/>
      <c r="E26" s="7"/>
      <c r="F26" s="7"/>
      <c r="G26" s="8"/>
      <c r="H26" s="7"/>
    </row>
    <row r="27" spans="1:8" ht="14.25" customHeight="1" x14ac:dyDescent="0.3">
      <c r="A27" s="8"/>
      <c r="B27" s="7"/>
      <c r="C27" s="7"/>
      <c r="D27" s="7"/>
      <c r="E27" s="7"/>
      <c r="F27" s="7"/>
      <c r="G27" s="8"/>
      <c r="H27" s="7"/>
    </row>
    <row r="28" spans="1:8" ht="14.25" customHeight="1" x14ac:dyDescent="0.3">
      <c r="A28" s="8"/>
      <c r="B28" s="7"/>
      <c r="C28" s="7"/>
      <c r="D28" s="7"/>
      <c r="E28" s="7"/>
      <c r="F28" s="7"/>
      <c r="G28" s="8"/>
      <c r="H28" s="7"/>
    </row>
    <row r="29" spans="1:8" ht="14.25" customHeight="1" x14ac:dyDescent="0.3">
      <c r="A29" s="8"/>
      <c r="B29" s="7"/>
      <c r="C29" s="7"/>
      <c r="D29" s="7"/>
      <c r="E29" s="7"/>
      <c r="F29" s="7"/>
      <c r="G29" s="8"/>
      <c r="H29" s="7"/>
    </row>
    <row r="30" spans="1:8" ht="14.25" customHeight="1" x14ac:dyDescent="0.3">
      <c r="A30" s="8"/>
      <c r="B30" s="7"/>
      <c r="C30" s="7"/>
      <c r="D30" s="7"/>
      <c r="E30" s="7"/>
      <c r="F30" s="7"/>
      <c r="G30" s="8"/>
      <c r="H30" s="7"/>
    </row>
    <row r="31" spans="1:8" ht="14.25" customHeight="1" x14ac:dyDescent="0.3">
      <c r="A31" s="8"/>
      <c r="B31" s="7"/>
      <c r="C31" s="7"/>
      <c r="D31" s="7"/>
      <c r="E31" s="7"/>
      <c r="F31" s="7"/>
      <c r="G31" s="8"/>
      <c r="H31" s="7"/>
    </row>
    <row r="32" spans="1:8" ht="14.25" customHeight="1" x14ac:dyDescent="0.3">
      <c r="A32" s="8"/>
      <c r="B32" s="7"/>
      <c r="C32" s="7"/>
      <c r="D32" s="7"/>
      <c r="E32" s="7"/>
      <c r="F32" s="7"/>
      <c r="G32" s="8"/>
      <c r="H32" s="7"/>
    </row>
    <row r="33" spans="1:8" ht="14.25" customHeight="1" x14ac:dyDescent="0.3">
      <c r="A33" s="8"/>
      <c r="B33" s="7"/>
      <c r="C33" s="7"/>
      <c r="D33" s="7"/>
      <c r="E33" s="7"/>
      <c r="F33" s="7"/>
      <c r="G33" s="8"/>
      <c r="H33" s="7"/>
    </row>
    <row r="34" spans="1:8" ht="14.25" customHeight="1" x14ac:dyDescent="0.3">
      <c r="A34" s="8"/>
      <c r="B34" s="7"/>
      <c r="C34" s="7"/>
      <c r="D34" s="7"/>
      <c r="E34" s="7"/>
      <c r="F34" s="7"/>
      <c r="G34" s="8"/>
      <c r="H34" s="7"/>
    </row>
    <row r="35" spans="1:8" ht="14.25" customHeight="1" x14ac:dyDescent="0.3">
      <c r="A35" s="8"/>
      <c r="B35" s="7"/>
      <c r="C35" s="7"/>
      <c r="D35" s="7"/>
      <c r="E35" s="7"/>
      <c r="F35" s="7"/>
      <c r="G35" s="8"/>
      <c r="H35" s="7"/>
    </row>
    <row r="36" spans="1:8" ht="14.25" customHeight="1" x14ac:dyDescent="0.3">
      <c r="A36" s="8"/>
      <c r="B36" s="7"/>
      <c r="C36" s="7"/>
      <c r="D36" s="7"/>
      <c r="E36" s="7"/>
      <c r="F36" s="7"/>
      <c r="G36" s="8"/>
      <c r="H36" s="7"/>
    </row>
    <row r="37" spans="1:8" ht="14.25" customHeight="1" x14ac:dyDescent="0.3">
      <c r="A37" s="8"/>
      <c r="B37" s="7"/>
      <c r="C37" s="7"/>
      <c r="D37" s="7"/>
      <c r="E37" s="7"/>
      <c r="F37" s="7"/>
      <c r="G37" s="8"/>
      <c r="H37" s="7"/>
    </row>
    <row r="38" spans="1:8" ht="14.25" customHeight="1" x14ac:dyDescent="0.3">
      <c r="A38" s="8"/>
      <c r="B38" s="7"/>
      <c r="C38" s="7"/>
      <c r="D38" s="7"/>
      <c r="E38" s="7"/>
      <c r="F38" s="7"/>
      <c r="G38" s="8"/>
      <c r="H38" s="7"/>
    </row>
    <row r="39" spans="1:8" ht="14.25" customHeight="1" x14ac:dyDescent="0.3">
      <c r="A39" s="8"/>
      <c r="B39" s="7"/>
      <c r="C39" s="7"/>
      <c r="D39" s="7"/>
      <c r="E39" s="7"/>
      <c r="F39" s="7"/>
      <c r="G39" s="8"/>
      <c r="H39" s="7"/>
    </row>
    <row r="40" spans="1:8" ht="14.25" customHeight="1" x14ac:dyDescent="0.3">
      <c r="A40" s="8"/>
      <c r="B40" s="7"/>
      <c r="C40" s="7"/>
      <c r="D40" s="7"/>
      <c r="E40" s="7"/>
      <c r="F40" s="7"/>
      <c r="G40" s="8"/>
      <c r="H40" s="7"/>
    </row>
    <row r="41" spans="1:8" ht="14.25" customHeight="1" x14ac:dyDescent="0.3">
      <c r="A41" s="8"/>
      <c r="B41" s="7"/>
      <c r="C41" s="7"/>
      <c r="D41" s="7"/>
      <c r="E41" s="7"/>
      <c r="F41" s="7"/>
      <c r="G41" s="8"/>
      <c r="H41" s="7"/>
    </row>
    <row r="42" spans="1:8" ht="14.25" customHeight="1" x14ac:dyDescent="0.3">
      <c r="A42" s="8"/>
      <c r="B42" s="7"/>
      <c r="C42" s="7"/>
      <c r="D42" s="7"/>
      <c r="E42" s="7"/>
      <c r="F42" s="7"/>
      <c r="G42" s="8"/>
      <c r="H42" s="7"/>
    </row>
    <row r="43" spans="1:8" ht="14.25" customHeight="1" x14ac:dyDescent="0.3">
      <c r="A43" s="8"/>
      <c r="B43" s="7"/>
      <c r="C43" s="7"/>
      <c r="D43" s="7"/>
      <c r="E43" s="7"/>
      <c r="F43" s="7"/>
      <c r="G43" s="8"/>
      <c r="H43" s="7"/>
    </row>
    <row r="44" spans="1:8" ht="14.25" customHeight="1" x14ac:dyDescent="0.3">
      <c r="A44" s="8"/>
      <c r="B44" s="7"/>
      <c r="C44" s="7"/>
      <c r="D44" s="7"/>
      <c r="E44" s="7"/>
      <c r="F44" s="7"/>
      <c r="G44" s="8"/>
      <c r="H44" s="7"/>
    </row>
    <row r="45" spans="1:8" ht="14.25" customHeight="1" x14ac:dyDescent="0.3">
      <c r="A45" s="8"/>
      <c r="B45" s="7"/>
      <c r="C45" s="7"/>
      <c r="D45" s="7"/>
      <c r="E45" s="7"/>
      <c r="F45" s="7"/>
      <c r="G45" s="8"/>
      <c r="H45" s="7"/>
    </row>
    <row r="46" spans="1:8" ht="14.25" customHeight="1" x14ac:dyDescent="0.3">
      <c r="A46" s="8"/>
      <c r="B46" s="7"/>
      <c r="C46" s="7"/>
      <c r="D46" s="7"/>
      <c r="E46" s="7"/>
      <c r="F46" s="7"/>
      <c r="G46" s="8"/>
      <c r="H46" s="7"/>
    </row>
    <row r="47" spans="1:8" ht="14.25" customHeight="1" x14ac:dyDescent="0.3">
      <c r="A47" s="8"/>
      <c r="B47" s="7"/>
      <c r="C47" s="7"/>
      <c r="D47" s="7"/>
      <c r="E47" s="7"/>
      <c r="F47" s="7"/>
      <c r="G47" s="8"/>
      <c r="H47" s="7"/>
    </row>
    <row r="48" spans="1:8" ht="14.25" customHeight="1" x14ac:dyDescent="0.3">
      <c r="A48" s="8"/>
      <c r="B48" s="7"/>
      <c r="C48" s="7"/>
      <c r="D48" s="7"/>
      <c r="E48" s="7"/>
      <c r="F48" s="7"/>
      <c r="G48" s="8"/>
      <c r="H48" s="7"/>
    </row>
    <row r="49" spans="1:8" ht="14.25" customHeight="1" x14ac:dyDescent="0.3">
      <c r="A49" s="8"/>
      <c r="B49" s="7"/>
      <c r="C49" s="7"/>
      <c r="D49" s="7"/>
      <c r="E49" s="7"/>
      <c r="F49" s="7"/>
      <c r="G49" s="8"/>
      <c r="H49" s="7"/>
    </row>
    <row r="50" spans="1:8" ht="14.25" customHeight="1" x14ac:dyDescent="0.3">
      <c r="A50" s="8"/>
      <c r="B50" s="7"/>
      <c r="C50" s="7"/>
      <c r="D50" s="7"/>
      <c r="E50" s="7"/>
      <c r="F50" s="7"/>
      <c r="G50" s="8"/>
      <c r="H50" s="7"/>
    </row>
    <row r="51" spans="1:8" ht="14.25" customHeight="1" x14ac:dyDescent="0.3">
      <c r="A51" s="8"/>
      <c r="B51" s="7"/>
      <c r="C51" s="7"/>
      <c r="D51" s="7"/>
      <c r="E51" s="7"/>
      <c r="F51" s="7"/>
      <c r="G51" s="8"/>
      <c r="H51" s="7"/>
    </row>
    <row r="52" spans="1:8" ht="14.25" customHeight="1" x14ac:dyDescent="0.3">
      <c r="A52" s="8"/>
      <c r="B52" s="7"/>
      <c r="C52" s="7"/>
      <c r="D52" s="7"/>
      <c r="E52" s="7"/>
      <c r="F52" s="7"/>
      <c r="G52" s="8"/>
      <c r="H52" s="7"/>
    </row>
    <row r="53" spans="1:8" ht="14.25" customHeight="1" x14ac:dyDescent="0.3">
      <c r="A53" s="8"/>
      <c r="B53" s="7"/>
      <c r="C53" s="7"/>
      <c r="D53" s="7"/>
      <c r="E53" s="7"/>
      <c r="F53" s="7"/>
      <c r="G53" s="8"/>
      <c r="H53" s="7"/>
    </row>
    <row r="54" spans="1:8" ht="14.25" customHeight="1" x14ac:dyDescent="0.3">
      <c r="A54" s="8"/>
      <c r="B54" s="7"/>
      <c r="C54" s="7"/>
      <c r="D54" s="7"/>
      <c r="E54" s="7"/>
      <c r="F54" s="7"/>
      <c r="G54" s="8"/>
      <c r="H54" s="7"/>
    </row>
    <row r="55" spans="1:8" ht="14.25" customHeight="1" x14ac:dyDescent="0.3">
      <c r="A55" s="8"/>
      <c r="B55" s="7"/>
      <c r="C55" s="7"/>
      <c r="D55" s="7"/>
      <c r="E55" s="7"/>
      <c r="F55" s="7"/>
      <c r="G55" s="8"/>
      <c r="H55" s="7"/>
    </row>
    <row r="56" spans="1:8" ht="14.25" customHeight="1" x14ac:dyDescent="0.3">
      <c r="A56" s="8"/>
      <c r="B56" s="7"/>
      <c r="C56" s="7"/>
      <c r="D56" s="7"/>
      <c r="E56" s="7"/>
      <c r="F56" s="7"/>
      <c r="G56" s="8"/>
      <c r="H56" s="7"/>
    </row>
    <row r="57" spans="1:8" ht="14.25" customHeight="1" x14ac:dyDescent="0.3">
      <c r="A57" s="8"/>
      <c r="B57" s="7"/>
      <c r="C57" s="7"/>
      <c r="D57" s="7"/>
      <c r="E57" s="7"/>
      <c r="F57" s="7"/>
      <c r="G57" s="8"/>
      <c r="H57" s="7"/>
    </row>
    <row r="58" spans="1:8" ht="14.25" customHeight="1" x14ac:dyDescent="0.3">
      <c r="A58" s="8"/>
      <c r="B58" s="7"/>
      <c r="C58" s="7"/>
      <c r="D58" s="7"/>
      <c r="E58" s="7"/>
      <c r="F58" s="7"/>
      <c r="G58" s="8"/>
      <c r="H58" s="7"/>
    </row>
    <row r="59" spans="1:8" ht="14.25" customHeight="1" x14ac:dyDescent="0.3">
      <c r="A59" s="8"/>
      <c r="B59" s="7"/>
      <c r="C59" s="7"/>
      <c r="D59" s="7"/>
      <c r="E59" s="7"/>
      <c r="F59" s="7"/>
      <c r="G59" s="8"/>
      <c r="H59" s="7"/>
    </row>
    <row r="60" spans="1:8" ht="14.25" customHeight="1" x14ac:dyDescent="0.3">
      <c r="A60" s="8"/>
      <c r="B60" s="7"/>
      <c r="C60" s="7"/>
      <c r="D60" s="7"/>
      <c r="E60" s="7"/>
      <c r="F60" s="7"/>
      <c r="G60" s="8"/>
      <c r="H60" s="7"/>
    </row>
    <row r="61" spans="1:8" ht="14.25" customHeight="1" x14ac:dyDescent="0.3">
      <c r="A61" s="8"/>
      <c r="B61" s="7"/>
      <c r="C61" s="7"/>
      <c r="D61" s="7"/>
      <c r="E61" s="7"/>
      <c r="F61" s="7"/>
      <c r="G61" s="8"/>
      <c r="H61" s="7"/>
    </row>
    <row r="62" spans="1:8" ht="14.25" customHeight="1" x14ac:dyDescent="0.3">
      <c r="A62" s="8"/>
      <c r="B62" s="7"/>
      <c r="C62" s="7"/>
      <c r="D62" s="7"/>
      <c r="E62" s="7"/>
      <c r="F62" s="7"/>
      <c r="G62" s="8"/>
      <c r="H62" s="7"/>
    </row>
    <row r="63" spans="1:8" ht="14.25" customHeight="1" x14ac:dyDescent="0.3">
      <c r="A63" s="8"/>
      <c r="B63" s="7"/>
      <c r="C63" s="7"/>
      <c r="D63" s="7"/>
      <c r="E63" s="7"/>
      <c r="F63" s="7"/>
      <c r="G63" s="8"/>
      <c r="H63" s="7"/>
    </row>
    <row r="64" spans="1:8" ht="14.25" customHeight="1" x14ac:dyDescent="0.3">
      <c r="A64" s="8"/>
      <c r="B64" s="7"/>
      <c r="C64" s="7"/>
      <c r="D64" s="7"/>
      <c r="E64" s="7"/>
      <c r="F64" s="7"/>
      <c r="G64" s="8"/>
      <c r="H64" s="7"/>
    </row>
    <row r="65" spans="1:8" ht="14.25" customHeight="1" x14ac:dyDescent="0.3">
      <c r="A65" s="8"/>
      <c r="B65" s="7"/>
      <c r="C65" s="7"/>
      <c r="D65" s="7"/>
      <c r="E65" s="7"/>
      <c r="F65" s="7"/>
      <c r="G65" s="8"/>
      <c r="H65" s="7"/>
    </row>
    <row r="66" spans="1:8" ht="14.25" customHeight="1" x14ac:dyDescent="0.3">
      <c r="A66" s="8"/>
      <c r="B66" s="7"/>
      <c r="C66" s="7"/>
      <c r="D66" s="7"/>
      <c r="E66" s="7"/>
      <c r="F66" s="7"/>
      <c r="G66" s="8"/>
      <c r="H66" s="7"/>
    </row>
    <row r="67" spans="1:8" ht="14.25" customHeight="1" x14ac:dyDescent="0.3">
      <c r="A67" s="8"/>
      <c r="B67" s="7"/>
      <c r="C67" s="7"/>
      <c r="D67" s="7"/>
      <c r="E67" s="7"/>
      <c r="F67" s="7"/>
      <c r="G67" s="8"/>
      <c r="H67" s="7"/>
    </row>
    <row r="68" spans="1:8" ht="14.25" customHeight="1" x14ac:dyDescent="0.3">
      <c r="A68" s="8"/>
      <c r="B68" s="7"/>
      <c r="C68" s="7"/>
      <c r="D68" s="7"/>
      <c r="E68" s="7"/>
      <c r="F68" s="7"/>
      <c r="G68" s="8"/>
      <c r="H68" s="7"/>
    </row>
    <row r="69" spans="1:8" ht="14.25" customHeight="1" x14ac:dyDescent="0.3">
      <c r="A69" s="8"/>
      <c r="B69" s="7"/>
      <c r="C69" s="7"/>
      <c r="D69" s="7"/>
      <c r="E69" s="7"/>
      <c r="F69" s="7"/>
      <c r="G69" s="8"/>
      <c r="H69" s="7"/>
    </row>
    <row r="70" spans="1:8" ht="14.25" customHeight="1" x14ac:dyDescent="0.3">
      <c r="A70" s="8"/>
      <c r="B70" s="7"/>
      <c r="C70" s="7"/>
      <c r="D70" s="7"/>
      <c r="E70" s="7"/>
      <c r="F70" s="7"/>
      <c r="G70" s="8"/>
      <c r="H70" s="7"/>
    </row>
    <row r="71" spans="1:8" ht="14.25" customHeight="1" x14ac:dyDescent="0.3">
      <c r="A71" s="8"/>
      <c r="B71" s="7"/>
      <c r="C71" s="7"/>
      <c r="D71" s="7"/>
      <c r="E71" s="7"/>
      <c r="F71" s="7"/>
      <c r="G71" s="8"/>
      <c r="H71" s="7"/>
    </row>
    <row r="72" spans="1:8" ht="14.25" customHeight="1" x14ac:dyDescent="0.3">
      <c r="A72" s="8"/>
      <c r="B72" s="7"/>
      <c r="C72" s="7"/>
      <c r="D72" s="7"/>
      <c r="E72" s="7"/>
      <c r="F72" s="7"/>
      <c r="G72" s="8"/>
      <c r="H72" s="7"/>
    </row>
    <row r="73" spans="1:8" ht="14.25" customHeight="1" x14ac:dyDescent="0.3">
      <c r="A73" s="8"/>
      <c r="B73" s="7"/>
      <c r="C73" s="7"/>
      <c r="D73" s="7"/>
      <c r="E73" s="7"/>
      <c r="F73" s="7"/>
      <c r="G73" s="8"/>
      <c r="H73" s="7"/>
    </row>
    <row r="74" spans="1:8" ht="14.25" customHeight="1" x14ac:dyDescent="0.3">
      <c r="A74" s="8"/>
      <c r="B74" s="7"/>
      <c r="C74" s="7"/>
      <c r="D74" s="7"/>
      <c r="E74" s="7"/>
      <c r="F74" s="7"/>
      <c r="G74" s="8"/>
      <c r="H74" s="7"/>
    </row>
    <row r="75" spans="1:8" ht="14.25" customHeight="1" x14ac:dyDescent="0.3">
      <c r="A75" s="8"/>
      <c r="B75" s="7"/>
      <c r="C75" s="7"/>
      <c r="D75" s="7"/>
      <c r="E75" s="7"/>
      <c r="F75" s="7"/>
      <c r="G75" s="8"/>
      <c r="H75" s="7"/>
    </row>
    <row r="76" spans="1:8" ht="14.25" customHeight="1" x14ac:dyDescent="0.3">
      <c r="A76" s="8"/>
      <c r="B76" s="7"/>
      <c r="C76" s="7"/>
      <c r="D76" s="7"/>
      <c r="E76" s="7"/>
      <c r="F76" s="7"/>
      <c r="G76" s="8"/>
      <c r="H76" s="7"/>
    </row>
    <row r="77" spans="1:8" ht="14.25" customHeight="1" x14ac:dyDescent="0.3">
      <c r="A77" s="8"/>
      <c r="B77" s="7"/>
      <c r="C77" s="7"/>
      <c r="D77" s="7"/>
      <c r="E77" s="7"/>
      <c r="F77" s="7"/>
      <c r="G77" s="8"/>
      <c r="H77" s="7"/>
    </row>
    <row r="78" spans="1:8" ht="14.25" customHeight="1" x14ac:dyDescent="0.3">
      <c r="A78" s="8"/>
      <c r="B78" s="7"/>
      <c r="C78" s="7"/>
      <c r="D78" s="7"/>
      <c r="E78" s="7"/>
      <c r="F78" s="7"/>
      <c r="G78" s="8"/>
      <c r="H78" s="7"/>
    </row>
    <row r="79" spans="1:8" ht="14.25" customHeight="1" x14ac:dyDescent="0.3">
      <c r="A79" s="8"/>
      <c r="B79" s="7"/>
      <c r="C79" s="7"/>
      <c r="D79" s="7"/>
      <c r="E79" s="7"/>
      <c r="F79" s="7"/>
      <c r="G79" s="8"/>
      <c r="H79" s="7"/>
    </row>
    <row r="80" spans="1:8" ht="14.25" customHeight="1" x14ac:dyDescent="0.3">
      <c r="A80" s="8"/>
      <c r="B80" s="7"/>
      <c r="C80" s="7"/>
      <c r="D80" s="7"/>
      <c r="E80" s="7"/>
      <c r="F80" s="7"/>
      <c r="G80" s="8"/>
      <c r="H80" s="7"/>
    </row>
    <row r="81" spans="1:8" ht="14.25" customHeight="1" x14ac:dyDescent="0.3">
      <c r="A81" s="8"/>
      <c r="B81" s="7"/>
      <c r="C81" s="7"/>
      <c r="D81" s="7"/>
      <c r="E81" s="7"/>
      <c r="F81" s="7"/>
      <c r="G81" s="8"/>
      <c r="H81" s="7"/>
    </row>
    <row r="82" spans="1:8" ht="14.25" customHeight="1" x14ac:dyDescent="0.3">
      <c r="A82" s="8"/>
      <c r="B82" s="7"/>
      <c r="C82" s="7"/>
      <c r="D82" s="7"/>
      <c r="E82" s="7"/>
      <c r="F82" s="7"/>
      <c r="G82" s="8"/>
      <c r="H82" s="7"/>
    </row>
    <row r="83" spans="1:8" ht="14.25" customHeight="1" x14ac:dyDescent="0.3">
      <c r="A83" s="8"/>
      <c r="B83" s="7"/>
      <c r="C83" s="7"/>
      <c r="D83" s="7"/>
      <c r="E83" s="7"/>
      <c r="F83" s="7"/>
      <c r="G83" s="8"/>
      <c r="H83" s="7"/>
    </row>
    <row r="84" spans="1:8" ht="14.25" customHeight="1" x14ac:dyDescent="0.3">
      <c r="A84" s="8"/>
      <c r="B84" s="7"/>
      <c r="C84" s="7"/>
      <c r="D84" s="7"/>
      <c r="E84" s="7"/>
      <c r="F84" s="7"/>
      <c r="G84" s="8"/>
      <c r="H84" s="7"/>
    </row>
    <row r="85" spans="1:8" ht="14.25" customHeight="1" x14ac:dyDescent="0.3">
      <c r="A85" s="8"/>
      <c r="B85" s="7"/>
      <c r="C85" s="7"/>
      <c r="D85" s="7"/>
      <c r="E85" s="7"/>
      <c r="F85" s="7"/>
      <c r="G85" s="8"/>
      <c r="H85" s="7"/>
    </row>
    <row r="86" spans="1:8" ht="14.25" customHeight="1" x14ac:dyDescent="0.3">
      <c r="A86" s="8"/>
      <c r="B86" s="7"/>
      <c r="C86" s="7"/>
      <c r="D86" s="7"/>
      <c r="E86" s="7"/>
      <c r="F86" s="7"/>
      <c r="G86" s="8"/>
      <c r="H86" s="7"/>
    </row>
    <row r="87" spans="1:8" ht="14.25" customHeight="1" x14ac:dyDescent="0.3">
      <c r="A87" s="8"/>
      <c r="B87" s="7"/>
      <c r="C87" s="7"/>
      <c r="D87" s="7"/>
      <c r="E87" s="7"/>
      <c r="F87" s="7"/>
      <c r="G87" s="8"/>
      <c r="H87" s="7"/>
    </row>
    <row r="88" spans="1:8" ht="14.25" customHeight="1" x14ac:dyDescent="0.3">
      <c r="A88" s="8"/>
      <c r="B88" s="7"/>
      <c r="C88" s="7"/>
      <c r="D88" s="7"/>
      <c r="E88" s="7"/>
      <c r="F88" s="7"/>
      <c r="G88" s="8"/>
      <c r="H88" s="7"/>
    </row>
    <row r="89" spans="1:8" ht="14.25" customHeight="1" x14ac:dyDescent="0.3">
      <c r="A89" s="8"/>
      <c r="B89" s="7"/>
      <c r="C89" s="7"/>
      <c r="D89" s="7"/>
      <c r="E89" s="7"/>
      <c r="F89" s="7"/>
      <c r="G89" s="8"/>
      <c r="H89" s="7"/>
    </row>
    <row r="90" spans="1:8" ht="14.25" customHeight="1" x14ac:dyDescent="0.3">
      <c r="A90" s="8"/>
      <c r="B90" s="7"/>
      <c r="C90" s="7"/>
      <c r="D90" s="7"/>
      <c r="E90" s="7"/>
      <c r="F90" s="7"/>
      <c r="G90" s="8"/>
      <c r="H90" s="7"/>
    </row>
    <row r="91" spans="1:8" ht="14.25" customHeight="1" x14ac:dyDescent="0.3">
      <c r="A91" s="8"/>
      <c r="B91" s="7"/>
      <c r="C91" s="7"/>
      <c r="D91" s="7"/>
      <c r="E91" s="7"/>
      <c r="F91" s="7"/>
      <c r="G91" s="8"/>
      <c r="H91" s="7"/>
    </row>
    <row r="92" spans="1:8" ht="14.25" customHeight="1" x14ac:dyDescent="0.3">
      <c r="A92" s="8"/>
      <c r="B92" s="7"/>
      <c r="C92" s="7"/>
      <c r="D92" s="7"/>
      <c r="E92" s="7"/>
      <c r="F92" s="7"/>
      <c r="G92" s="8"/>
      <c r="H92" s="7"/>
    </row>
    <row r="93" spans="1:8" ht="14.25" customHeight="1" x14ac:dyDescent="0.3">
      <c r="A93" s="8"/>
      <c r="B93" s="7"/>
      <c r="C93" s="7"/>
      <c r="D93" s="7"/>
      <c r="E93" s="7"/>
      <c r="F93" s="7"/>
      <c r="G93" s="8"/>
      <c r="H93" s="7"/>
    </row>
    <row r="94" spans="1:8" ht="14.25" customHeight="1" x14ac:dyDescent="0.3">
      <c r="A94" s="8"/>
      <c r="B94" s="7"/>
      <c r="C94" s="7"/>
      <c r="D94" s="7"/>
      <c r="E94" s="7"/>
      <c r="F94" s="7"/>
      <c r="G94" s="8"/>
      <c r="H94" s="7"/>
    </row>
    <row r="95" spans="1:8" ht="14.25" customHeight="1" x14ac:dyDescent="0.3">
      <c r="A95" s="8"/>
      <c r="B95" s="7"/>
      <c r="C95" s="7"/>
      <c r="D95" s="7"/>
      <c r="E95" s="7"/>
      <c r="F95" s="7"/>
      <c r="G95" s="8"/>
      <c r="H95" s="7"/>
    </row>
    <row r="96" spans="1:8" ht="14.25" customHeight="1" x14ac:dyDescent="0.3">
      <c r="A96" s="8"/>
      <c r="B96" s="7"/>
      <c r="C96" s="7"/>
      <c r="D96" s="7"/>
      <c r="E96" s="7"/>
      <c r="F96" s="7"/>
      <c r="G96" s="8"/>
      <c r="H96" s="7"/>
    </row>
    <row r="97" spans="1:8" ht="14.25" customHeight="1" x14ac:dyDescent="0.3">
      <c r="A97" s="8"/>
      <c r="B97" s="7"/>
      <c r="C97" s="7"/>
      <c r="D97" s="7"/>
      <c r="E97" s="7"/>
      <c r="F97" s="7"/>
      <c r="G97" s="8"/>
      <c r="H97" s="7"/>
    </row>
    <row r="98" spans="1:8" ht="14.25" customHeight="1" x14ac:dyDescent="0.3">
      <c r="A98" s="8"/>
      <c r="B98" s="7"/>
      <c r="C98" s="7"/>
      <c r="D98" s="7"/>
      <c r="E98" s="7"/>
      <c r="F98" s="7"/>
      <c r="G98" s="8"/>
      <c r="H98" s="7"/>
    </row>
    <row r="99" spans="1:8" ht="14.25" customHeight="1" x14ac:dyDescent="0.3">
      <c r="A99" s="8"/>
      <c r="B99" s="7"/>
      <c r="C99" s="7"/>
      <c r="D99" s="7"/>
      <c r="E99" s="7"/>
      <c r="F99" s="7"/>
      <c r="G99" s="8"/>
      <c r="H99" s="7"/>
    </row>
    <row r="100" spans="1:8" ht="14.25" customHeight="1" x14ac:dyDescent="0.3">
      <c r="A100" s="8"/>
      <c r="B100" s="7"/>
      <c r="C100" s="7"/>
      <c r="D100" s="7"/>
      <c r="E100" s="7"/>
      <c r="F100" s="7"/>
      <c r="G100" s="8"/>
      <c r="H100" s="7"/>
    </row>
    <row r="101" spans="1:8" ht="14.25" customHeight="1" x14ac:dyDescent="0.3">
      <c r="A101" s="8"/>
      <c r="B101" s="7"/>
      <c r="C101" s="7"/>
      <c r="D101" s="7"/>
      <c r="E101" s="7"/>
      <c r="F101" s="7"/>
      <c r="G101" s="8"/>
      <c r="H101" s="7"/>
    </row>
  </sheetData>
  <mergeCells count="1">
    <mergeCell ref="A1:H1"/>
  </mergeCells>
  <conditionalFormatting sqref="H3:H101">
    <cfRule type="expression" dxfId="4" priority="2">
      <formula>H3="Resolved"</formula>
    </cfRule>
    <cfRule type="expression" dxfId="3" priority="3">
      <formula>H3="In Progress"</formula>
    </cfRule>
    <cfRule type="expression" dxfId="2" priority="4">
      <formula>H3="Escalated"</formula>
    </cfRule>
  </conditionalFormatting>
  <dataValidations count="2">
    <dataValidation type="list" sqref="B3:B101" xr:uid="{00000000-0002-0000-0500-000000000000}">
      <formula1>"Unit 1 / Phase 1,Phase 2,Phase 3,Final"</formula1>
      <formula2>0</formula2>
    </dataValidation>
    <dataValidation type="list" sqref="H3:H101" xr:uid="{00000000-0002-0000-0500-000001000000}">
      <formula1>"Open,In Progress,Resolved,Escalated"</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3" zoomScale="137" zoomScaleNormal="100" workbookViewId="0">
      <selection activeCell="B4" sqref="B4"/>
    </sheetView>
  </sheetViews>
  <sheetFormatPr defaultColWidth="8.77734375" defaultRowHeight="14.4" x14ac:dyDescent="0.3"/>
  <cols>
    <col min="1" max="1" width="34" customWidth="1"/>
    <col min="2" max="2" width="58" customWidth="1"/>
    <col min="3" max="3" width="3" customWidth="1"/>
    <col min="4" max="4" width="40" customWidth="1"/>
    <col min="5" max="5" width="12" customWidth="1"/>
    <col min="6" max="6" width="3" customWidth="1"/>
  </cols>
  <sheetData>
    <row r="1" spans="1:6" ht="19.5" customHeight="1" x14ac:dyDescent="0.3">
      <c r="A1" s="12" t="s">
        <v>182</v>
      </c>
      <c r="B1" s="12"/>
      <c r="C1" s="12"/>
      <c r="D1" s="12"/>
      <c r="E1" s="12"/>
      <c r="F1" s="12"/>
    </row>
    <row r="3" spans="1:6" ht="14.25" customHeight="1" x14ac:dyDescent="0.3">
      <c r="A3" s="1" t="s">
        <v>183</v>
      </c>
      <c r="B3" s="1" t="s">
        <v>42</v>
      </c>
      <c r="D3" s="15" t="s">
        <v>184</v>
      </c>
      <c r="E3" s="15"/>
      <c r="F3" s="15"/>
    </row>
    <row r="4" spans="1:6" ht="14.25" customHeight="1" x14ac:dyDescent="0.3">
      <c r="A4" s="2" t="s">
        <v>56</v>
      </c>
      <c r="B4" s="4" t="s">
        <v>36</v>
      </c>
      <c r="D4" s="2" t="s">
        <v>185</v>
      </c>
      <c r="E4" t="s">
        <v>89</v>
      </c>
    </row>
    <row r="5" spans="1:6" ht="14.25" customHeight="1" x14ac:dyDescent="0.3">
      <c r="A5" s="2" t="s">
        <v>58</v>
      </c>
      <c r="B5" s="4"/>
      <c r="D5" s="2" t="s">
        <v>186</v>
      </c>
      <c r="E5" t="s">
        <v>89</v>
      </c>
    </row>
    <row r="6" spans="1:6" ht="14.25" customHeight="1" x14ac:dyDescent="0.3">
      <c r="A6" s="2" t="s">
        <v>187</v>
      </c>
      <c r="B6" s="4" t="s">
        <v>47</v>
      </c>
      <c r="D6" s="2" t="s">
        <v>188</v>
      </c>
      <c r="E6" t="s">
        <v>89</v>
      </c>
    </row>
    <row r="7" spans="1:6" ht="39.75" customHeight="1" x14ac:dyDescent="0.3">
      <c r="A7" s="2" t="s">
        <v>189</v>
      </c>
      <c r="B7" s="4" t="s">
        <v>324</v>
      </c>
      <c r="D7" s="2" t="s">
        <v>190</v>
      </c>
      <c r="E7" t="s">
        <v>89</v>
      </c>
    </row>
    <row r="8" spans="1:6" ht="39.75" customHeight="1" x14ac:dyDescent="0.3">
      <c r="A8" s="2" t="s">
        <v>191</v>
      </c>
      <c r="B8" s="4" t="s">
        <v>325</v>
      </c>
      <c r="D8" s="2" t="s">
        <v>192</v>
      </c>
      <c r="E8" t="s">
        <v>89</v>
      </c>
    </row>
    <row r="9" spans="1:6" ht="39.75" customHeight="1" x14ac:dyDescent="0.3">
      <c r="A9" s="2" t="s">
        <v>193</v>
      </c>
      <c r="B9" s="4" t="s">
        <v>325</v>
      </c>
      <c r="D9" s="2" t="s">
        <v>194</v>
      </c>
      <c r="E9" t="s">
        <v>89</v>
      </c>
    </row>
    <row r="10" spans="1:6" ht="39.75" customHeight="1" x14ac:dyDescent="0.3">
      <c r="A10" s="2" t="s">
        <v>195</v>
      </c>
      <c r="B10" s="4" t="s">
        <v>326</v>
      </c>
      <c r="D10" s="2" t="s">
        <v>196</v>
      </c>
      <c r="E10" t="s">
        <v>89</v>
      </c>
    </row>
    <row r="11" spans="1:6" ht="39.75" customHeight="1" x14ac:dyDescent="0.3">
      <c r="A11" s="2" t="s">
        <v>197</v>
      </c>
      <c r="B11" s="4" t="s">
        <v>327</v>
      </c>
      <c r="D11" s="2" t="s">
        <v>198</v>
      </c>
      <c r="E11" t="s">
        <v>89</v>
      </c>
    </row>
    <row r="12" spans="1:6" ht="39.75" customHeight="1" x14ac:dyDescent="0.3">
      <c r="A12" s="2" t="s">
        <v>199</v>
      </c>
      <c r="B12" s="4"/>
      <c r="D12" s="2" t="s">
        <v>200</v>
      </c>
      <c r="E12" t="s">
        <v>89</v>
      </c>
    </row>
    <row r="13" spans="1:6" ht="39.75" customHeight="1" x14ac:dyDescent="0.3">
      <c r="A13" s="2" t="s">
        <v>201</v>
      </c>
      <c r="B13" s="4"/>
    </row>
  </sheetData>
  <mergeCells count="2">
    <mergeCell ref="A1:F1"/>
    <mergeCell ref="D3:F3"/>
  </mergeCells>
  <conditionalFormatting sqref="E4:E12">
    <cfRule type="expression" dxfId="1" priority="2">
      <formula>E4="Yes"</formula>
    </cfRule>
    <cfRule type="expression" dxfId="0" priority="3">
      <formula>E4="No"</formula>
    </cfRule>
  </conditionalFormatting>
  <dataValidations count="3">
    <dataValidation type="list" sqref="B4" xr:uid="{00000000-0002-0000-0600-000000000000}">
      <formula1>"Unit 1 / Phase 1,Phase 2,Phase 3,Final"</formula1>
      <formula2>0</formula2>
    </dataValidation>
    <dataValidation type="list" sqref="B6" xr:uid="{00000000-0002-0000-0600-000001000000}">
      <formula1>"Not Started,In Progress,Completed,Delayed,Blocked"</formula1>
      <formula2>0</formula2>
    </dataValidation>
    <dataValidation type="list" sqref="E4:E12" xr:uid="{00000000-0002-0000-0600-000002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6" zoomScale="131" zoomScaleNormal="100" workbookViewId="0">
      <selection activeCell="E13" sqref="E13"/>
    </sheetView>
  </sheetViews>
  <sheetFormatPr defaultColWidth="8.77734375" defaultRowHeight="14.4" x14ac:dyDescent="0.3"/>
  <cols>
    <col min="1" max="1" width="37.88671875" customWidth="1"/>
    <col min="2" max="2" width="62" customWidth="1"/>
    <col min="3" max="3" width="3" customWidth="1"/>
    <col min="4" max="4" width="20" customWidth="1"/>
    <col min="5" max="5" width="48" customWidth="1"/>
    <col min="6" max="6" width="3" customWidth="1"/>
  </cols>
  <sheetData>
    <row r="1" spans="1:6" ht="19.5" customHeight="1" x14ac:dyDescent="0.3">
      <c r="A1" s="12" t="s">
        <v>29</v>
      </c>
      <c r="B1" s="12"/>
      <c r="C1" s="12"/>
      <c r="D1" s="12"/>
      <c r="E1" s="12"/>
      <c r="F1" s="12"/>
    </row>
    <row r="3" spans="1:6" ht="14.25" customHeight="1" x14ac:dyDescent="0.3">
      <c r="A3" s="1" t="s">
        <v>202</v>
      </c>
      <c r="B3" s="1" t="s">
        <v>42</v>
      </c>
      <c r="D3" s="15" t="s">
        <v>203</v>
      </c>
      <c r="E3" s="15"/>
      <c r="F3" s="15"/>
    </row>
    <row r="4" spans="1:6" ht="27.75" customHeight="1" x14ac:dyDescent="0.3">
      <c r="A4" s="2" t="s">
        <v>56</v>
      </c>
      <c r="B4" s="4" t="s">
        <v>36</v>
      </c>
      <c r="D4" s="2" t="s">
        <v>204</v>
      </c>
      <c r="E4" s="3" t="s">
        <v>205</v>
      </c>
    </row>
    <row r="5" spans="1:6" ht="27.75" customHeight="1" x14ac:dyDescent="0.3">
      <c r="A5" s="2" t="s">
        <v>48</v>
      </c>
      <c r="B5" s="4" t="s">
        <v>49</v>
      </c>
      <c r="D5" s="2" t="s">
        <v>206</v>
      </c>
      <c r="E5" s="3" t="s">
        <v>207</v>
      </c>
    </row>
    <row r="6" spans="1:6" ht="27.75" customHeight="1" x14ac:dyDescent="0.3">
      <c r="A6" s="2" t="s">
        <v>208</v>
      </c>
      <c r="B6" s="4" t="s">
        <v>230</v>
      </c>
      <c r="D6" s="2" t="s">
        <v>209</v>
      </c>
      <c r="E6" s="3" t="s">
        <v>210</v>
      </c>
    </row>
    <row r="7" spans="1:6" ht="27.75" customHeight="1" x14ac:dyDescent="0.3">
      <c r="A7" s="2" t="s">
        <v>211</v>
      </c>
      <c r="B7" s="4" t="s">
        <v>328</v>
      </c>
      <c r="D7" s="2" t="s">
        <v>212</v>
      </c>
      <c r="E7" s="3" t="s">
        <v>213</v>
      </c>
    </row>
    <row r="8" spans="1:6" ht="27.75" customHeight="1" x14ac:dyDescent="0.3">
      <c r="A8" s="2" t="s">
        <v>214</v>
      </c>
      <c r="B8" s="4" t="s">
        <v>265</v>
      </c>
      <c r="D8" s="2" t="s">
        <v>215</v>
      </c>
      <c r="E8" s="3" t="s">
        <v>216</v>
      </c>
    </row>
    <row r="9" spans="1:6" ht="48.75" customHeight="1" x14ac:dyDescent="0.3">
      <c r="A9" s="2" t="s">
        <v>217</v>
      </c>
      <c r="B9" s="4" t="s">
        <v>329</v>
      </c>
    </row>
    <row r="10" spans="1:6" ht="48.75" customHeight="1" x14ac:dyDescent="0.3">
      <c r="A10" s="2" t="s">
        <v>218</v>
      </c>
      <c r="B10" s="4" t="s">
        <v>231</v>
      </c>
    </row>
    <row r="11" spans="1:6" ht="48.75" customHeight="1" x14ac:dyDescent="0.3">
      <c r="A11" s="2" t="s">
        <v>219</v>
      </c>
      <c r="B11" s="4" t="s">
        <v>232</v>
      </c>
    </row>
    <row r="12" spans="1:6" ht="48.75" customHeight="1" x14ac:dyDescent="0.3">
      <c r="A12" s="2" t="s">
        <v>220</v>
      </c>
      <c r="B12" s="4" t="s">
        <v>221</v>
      </c>
    </row>
    <row r="13" spans="1:6" ht="48.75" customHeight="1" x14ac:dyDescent="0.3">
      <c r="A13" s="2" t="s">
        <v>222</v>
      </c>
      <c r="B13" s="4" t="s">
        <v>233</v>
      </c>
    </row>
    <row r="14" spans="1:6" ht="48.75" customHeight="1" x14ac:dyDescent="0.3">
      <c r="A14" s="2" t="s">
        <v>223</v>
      </c>
      <c r="B14" s="4"/>
    </row>
    <row r="15" spans="1:6" ht="48.75" customHeight="1" x14ac:dyDescent="0.3">
      <c r="A15" s="2" t="s">
        <v>224</v>
      </c>
      <c r="B15" s="4"/>
    </row>
  </sheetData>
  <mergeCells count="2">
    <mergeCell ref="A1:F1"/>
    <mergeCell ref="D3:F3"/>
  </mergeCells>
  <dataValidations count="1">
    <dataValidation type="list" sqref="B4" xr:uid="{00000000-0002-0000-0700-000000000000}">
      <formula1>"Unit 1 / Phase 1,Phase 2,Phase 3,Final"</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Sandile Pheko</cp:lastModifiedBy>
  <cp:revision>3</cp:revision>
  <dcterms:created xsi:type="dcterms:W3CDTF">2026-08-26T18:26:39Z</dcterms:created>
  <dcterms:modified xsi:type="dcterms:W3CDTF">2026-10-25T14:34:15Z</dcterms:modified>
  <dc:language>en-US</dc:language>
</cp:coreProperties>
</file>